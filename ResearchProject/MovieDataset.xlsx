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0E77C9B1-F80A-4F76-AA0D-3B4CA3CDA4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Sheet1!$C$1:$C$1001</definedName>
    <definedName name="_xlchart.v1.0" hidden="1">Sheet1!$A$2:$A$501</definedName>
    <definedName name="_xlchart.v1.1" hidden="1">Sheet1!$F$1</definedName>
    <definedName name="_xlchart.v1.2" hidden="1">Sheet1!$F$2:$F$501</definedName>
    <definedName name="_xlchart.v1.3" hidden="1">Sheet1!$A$2:$A$501</definedName>
    <definedName name="_xlchart.v1.4" hidden="1">Sheet1!$G$1</definedName>
    <definedName name="_xlchart.v1.5" hidden="1">Sheet1!$G$2:$G$501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</calcChain>
</file>

<file path=xl/sharedStrings.xml><?xml version="1.0" encoding="utf-8"?>
<sst xmlns="http://schemas.openxmlformats.org/spreadsheetml/2006/main" count="5340" uniqueCount="2340">
  <si>
    <t>Number</t>
  </si>
  <si>
    <t>Series_Title</t>
  </si>
  <si>
    <t>Released_Year</t>
  </si>
  <si>
    <t>Runtime</t>
  </si>
  <si>
    <t>Genre</t>
  </si>
  <si>
    <t>IMDB_Rating</t>
  </si>
  <si>
    <t>Meta_score</t>
  </si>
  <si>
    <t>Director</t>
  </si>
  <si>
    <t>Star1</t>
  </si>
  <si>
    <t>No_of_Votes</t>
  </si>
  <si>
    <t>Gross</t>
  </si>
  <si>
    <t>P(A,B)</t>
  </si>
  <si>
    <t>Sum of Ratings above 8.2</t>
  </si>
  <si>
    <t>Gross Movie above 50M</t>
  </si>
  <si>
    <t>Sum of Gross above 50M</t>
  </si>
  <si>
    <t>The Shawshank Redemption</t>
  </si>
  <si>
    <t>142 min</t>
  </si>
  <si>
    <t>Drama</t>
  </si>
  <si>
    <t>Frank Darabont</t>
  </si>
  <si>
    <t>Tim Robbins</t>
  </si>
  <si>
    <t>The Godfather</t>
  </si>
  <si>
    <t>175 min</t>
  </si>
  <si>
    <t>Crime,</t>
  </si>
  <si>
    <t>Francis Ford Coppola</t>
  </si>
  <si>
    <t>Marlon Brando</t>
  </si>
  <si>
    <t>The Dark Knight</t>
  </si>
  <si>
    <t>152 min</t>
  </si>
  <si>
    <t>Action,</t>
  </si>
  <si>
    <t>Christopher Nolan</t>
  </si>
  <si>
    <t>Christian Bale</t>
  </si>
  <si>
    <t>The Godfather: Part II</t>
  </si>
  <si>
    <t>202 min</t>
  </si>
  <si>
    <t>Al Pacino</t>
  </si>
  <si>
    <t>12 Angry Men</t>
  </si>
  <si>
    <t>96 min</t>
  </si>
  <si>
    <t>Sidney Lumet</t>
  </si>
  <si>
    <t>Henry Fonda</t>
  </si>
  <si>
    <t>The Lord of the Rings: The Return of the King</t>
  </si>
  <si>
    <t>201 min</t>
  </si>
  <si>
    <t>Peter Jackson</t>
  </si>
  <si>
    <t>Elijah Wood</t>
  </si>
  <si>
    <t>Pulp Fiction</t>
  </si>
  <si>
    <t>154 min</t>
  </si>
  <si>
    <t>Quentin Tarantino</t>
  </si>
  <si>
    <t>John Travolta</t>
  </si>
  <si>
    <t>Schindler's List</t>
  </si>
  <si>
    <t>195 min</t>
  </si>
  <si>
    <t>Biography,</t>
  </si>
  <si>
    <t>Steven Spielberg</t>
  </si>
  <si>
    <t>Liam Neeson</t>
  </si>
  <si>
    <t>Inception</t>
  </si>
  <si>
    <t>148 min</t>
  </si>
  <si>
    <t>Leonardo DiCaprio</t>
  </si>
  <si>
    <t>Fight Club</t>
  </si>
  <si>
    <t>139 min</t>
  </si>
  <si>
    <t>David Fincher</t>
  </si>
  <si>
    <t>Brad Pitt</t>
  </si>
  <si>
    <t>The Lord of the Rings: The Fellowship of the Ring</t>
  </si>
  <si>
    <t>178 min</t>
  </si>
  <si>
    <t>Forrest Gump</t>
  </si>
  <si>
    <t>Drama,</t>
  </si>
  <si>
    <t>Robert Zemeckis</t>
  </si>
  <si>
    <t>Tom Hanks</t>
  </si>
  <si>
    <t>Il buono, il brutto, il cattivo</t>
  </si>
  <si>
    <t>161 min</t>
  </si>
  <si>
    <t>Western</t>
  </si>
  <si>
    <t>Sergio Leone</t>
  </si>
  <si>
    <t>Clint Eastwood</t>
  </si>
  <si>
    <t>The Lord of the Rings: The Two Towers</t>
  </si>
  <si>
    <t>179 min</t>
  </si>
  <si>
    <t>The Matrix</t>
  </si>
  <si>
    <t>136 min</t>
  </si>
  <si>
    <t>Lana Wachowski</t>
  </si>
  <si>
    <t>Lilly Wachowski</t>
  </si>
  <si>
    <t>Goodfellas</t>
  </si>
  <si>
    <t>146 min</t>
  </si>
  <si>
    <t>Martin Scorsese</t>
  </si>
  <si>
    <t>Robert De Niro</t>
  </si>
  <si>
    <t>Star Wars: Episode V - The Empire Strikes Back</t>
  </si>
  <si>
    <t>124 min</t>
  </si>
  <si>
    <t>Irvin Kershner</t>
  </si>
  <si>
    <t>Mark Hamill</t>
  </si>
  <si>
    <t>One Flew Over the Cuckoo's Nest</t>
  </si>
  <si>
    <t>133 min</t>
  </si>
  <si>
    <t>Milos Forman</t>
  </si>
  <si>
    <t>Jack Nicholson</t>
  </si>
  <si>
    <t>Hamilton</t>
  </si>
  <si>
    <t>160 min</t>
  </si>
  <si>
    <t>Thomas Kail</t>
  </si>
  <si>
    <t>Lin-Manuel Miranda</t>
  </si>
  <si>
    <t xml:space="preserve">
</t>
  </si>
  <si>
    <t>Gisaengchung</t>
  </si>
  <si>
    <t>132 min</t>
  </si>
  <si>
    <t>Comedy,</t>
  </si>
  <si>
    <t>Bong Joon Ho</t>
  </si>
  <si>
    <t>Kang-ho Song</t>
  </si>
  <si>
    <t>Soorarai Pottru</t>
  </si>
  <si>
    <t>153 min</t>
  </si>
  <si>
    <t>Sudha Kongara</t>
  </si>
  <si>
    <t>Suriya</t>
  </si>
  <si>
    <t>Interstellar</t>
  </si>
  <si>
    <t>169 min</t>
  </si>
  <si>
    <t>Adventure,</t>
  </si>
  <si>
    <t>Matthew McConaughey</t>
  </si>
  <si>
    <t>Cidade de Deus</t>
  </si>
  <si>
    <t>130 min</t>
  </si>
  <si>
    <t>Fernando Meirelles</t>
  </si>
  <si>
    <t>Kátia Lund</t>
  </si>
  <si>
    <t>Sen to Chihiro no kamikakushi</t>
  </si>
  <si>
    <t>125 min</t>
  </si>
  <si>
    <t>Animation,</t>
  </si>
  <si>
    <t>Hayao Miyazaki</t>
  </si>
  <si>
    <t>Daveigh Chase</t>
  </si>
  <si>
    <t>Saving Private Ryan</t>
  </si>
  <si>
    <t>The Green Mile</t>
  </si>
  <si>
    <t>189 min</t>
  </si>
  <si>
    <t>La vita è bella</t>
  </si>
  <si>
    <t>116 min</t>
  </si>
  <si>
    <t>Roberto Benigni</t>
  </si>
  <si>
    <t>Se7en</t>
  </si>
  <si>
    <t>127 min</t>
  </si>
  <si>
    <t>Morgan Freeman</t>
  </si>
  <si>
    <t>The Silence of the Lambs</t>
  </si>
  <si>
    <t>118 min</t>
  </si>
  <si>
    <t>Jonathan Demme</t>
  </si>
  <si>
    <t>Jodie Foster</t>
  </si>
  <si>
    <t>Star Wars</t>
  </si>
  <si>
    <t>121 min</t>
  </si>
  <si>
    <t>George Lucas</t>
  </si>
  <si>
    <t>Seppuku</t>
  </si>
  <si>
    <t>Masaki Kobayashi</t>
  </si>
  <si>
    <t>Tatsuya Nakadai</t>
  </si>
  <si>
    <t>Shichinin no samurai</t>
  </si>
  <si>
    <t>207 min</t>
  </si>
  <si>
    <t>Akira Kurosawa</t>
  </si>
  <si>
    <t>Toshirô Mifune</t>
  </si>
  <si>
    <t>It's a Wonderful Life</t>
  </si>
  <si>
    <t>Frank Capra</t>
  </si>
  <si>
    <t>James Stewart</t>
  </si>
  <si>
    <t>Joker</t>
  </si>
  <si>
    <t>122 min</t>
  </si>
  <si>
    <t>Todd Phillips</t>
  </si>
  <si>
    <t>Joaquin Phoenix</t>
  </si>
  <si>
    <t>Whiplash</t>
  </si>
  <si>
    <t>106 min</t>
  </si>
  <si>
    <t>Damien Chazelle</t>
  </si>
  <si>
    <t>Miles Teller</t>
  </si>
  <si>
    <t>The Intouchables</t>
  </si>
  <si>
    <t>112 min</t>
  </si>
  <si>
    <t>Olivier Nakache</t>
  </si>
  <si>
    <t>Éric Toledano</t>
  </si>
  <si>
    <t>The Prestige</t>
  </si>
  <si>
    <t>The Departed</t>
  </si>
  <si>
    <t>151 min</t>
  </si>
  <si>
    <t>The Pianist</t>
  </si>
  <si>
    <t>150 min</t>
  </si>
  <si>
    <t>Roman Polanski</t>
  </si>
  <si>
    <t>Adrien Brody</t>
  </si>
  <si>
    <t>Gladiator</t>
  </si>
  <si>
    <t>155 min</t>
  </si>
  <si>
    <t>Ridley Scott</t>
  </si>
  <si>
    <t>Russell Crowe</t>
  </si>
  <si>
    <t>American History X</t>
  </si>
  <si>
    <t>119 min</t>
  </si>
  <si>
    <t>Tony Kaye</t>
  </si>
  <si>
    <t>Edward Norton</t>
  </si>
  <si>
    <t>The Usual Suspects</t>
  </si>
  <si>
    <t>Bryan Singer</t>
  </si>
  <si>
    <t>Kevin Spacey</t>
  </si>
  <si>
    <t>Léon</t>
  </si>
  <si>
    <t>110 min</t>
  </si>
  <si>
    <t>Luc Besson</t>
  </si>
  <si>
    <t>Jean Reno</t>
  </si>
  <si>
    <t>The Lion King</t>
  </si>
  <si>
    <t>88 min</t>
  </si>
  <si>
    <t>Roger Allers</t>
  </si>
  <si>
    <t>Rob Minkoff</t>
  </si>
  <si>
    <t>Terminator 2: Judgment Day</t>
  </si>
  <si>
    <t>137 min</t>
  </si>
  <si>
    <t>James Cameron</t>
  </si>
  <si>
    <t>Arnold Schwarzenegger</t>
  </si>
  <si>
    <t>Nuovo Cinema Paradiso</t>
  </si>
  <si>
    <t>Giuseppe Tornatore</t>
  </si>
  <si>
    <t>Philippe Noiret</t>
  </si>
  <si>
    <t>Hotaru no haka</t>
  </si>
  <si>
    <t>89 min</t>
  </si>
  <si>
    <t>Isao Takahata</t>
  </si>
  <si>
    <t>Tsutomu Tatsumi</t>
  </si>
  <si>
    <t>Back to the Future</t>
  </si>
  <si>
    <t>Michael J. Fox</t>
  </si>
  <si>
    <t>Once Upon a Time in the West</t>
  </si>
  <si>
    <t>165 min</t>
  </si>
  <si>
    <t>Psycho</t>
  </si>
  <si>
    <t>109 min</t>
  </si>
  <si>
    <t>Horror,</t>
  </si>
  <si>
    <t>Alfred Hitchcock</t>
  </si>
  <si>
    <t>Anthony Perkins</t>
  </si>
  <si>
    <t>Casablanca</t>
  </si>
  <si>
    <t>102 min</t>
  </si>
  <si>
    <t>Michael Curtiz</t>
  </si>
  <si>
    <t>Humphrey Bogart</t>
  </si>
  <si>
    <t>Modern Times</t>
  </si>
  <si>
    <t>87 min</t>
  </si>
  <si>
    <t>Charles Chaplin</t>
  </si>
  <si>
    <t>City Lights</t>
  </si>
  <si>
    <t>Capharnaüm</t>
  </si>
  <si>
    <t>126 min</t>
  </si>
  <si>
    <t>Nadine Labaki</t>
  </si>
  <si>
    <t>Zain Al Rafeea</t>
  </si>
  <si>
    <t>Ayla: The Daughter of War</t>
  </si>
  <si>
    <t>Can Ulkay</t>
  </si>
  <si>
    <t>Erdem Can</t>
  </si>
  <si>
    <t>Vikram Vedha</t>
  </si>
  <si>
    <t>147 min</t>
  </si>
  <si>
    <t>Gayatri</t>
  </si>
  <si>
    <t>Pushkar</t>
  </si>
  <si>
    <t>Kimi no na wa.</t>
  </si>
  <si>
    <t>Makoto Shinkai</t>
  </si>
  <si>
    <t>Ryûnosuke Kamiki</t>
  </si>
  <si>
    <t>Dangal</t>
  </si>
  <si>
    <t>Nitesh Tiwari</t>
  </si>
  <si>
    <t>Aamir Khan</t>
  </si>
  <si>
    <t>Spider-Man: Into the Spider-Verse</t>
  </si>
  <si>
    <t>117 min</t>
  </si>
  <si>
    <t>Bob Persichetti</t>
  </si>
  <si>
    <t>Peter Ramsey</t>
  </si>
  <si>
    <t>Avengers: Endgame</t>
  </si>
  <si>
    <t>181 min</t>
  </si>
  <si>
    <t>Anthony Russo</t>
  </si>
  <si>
    <t>Joe Russo</t>
  </si>
  <si>
    <t>Avengers: Infinity War</t>
  </si>
  <si>
    <t>149 min</t>
  </si>
  <si>
    <t>Coco</t>
  </si>
  <si>
    <t>105 min</t>
  </si>
  <si>
    <t>Lee Unkrich</t>
  </si>
  <si>
    <t>Adrian Molina</t>
  </si>
  <si>
    <t>Django Unchained</t>
  </si>
  <si>
    <t>Jamie Foxx</t>
  </si>
  <si>
    <t>The Dark Knight Rises</t>
  </si>
  <si>
    <t>164 min</t>
  </si>
  <si>
    <t>3 Idiots</t>
  </si>
  <si>
    <t>170 min</t>
  </si>
  <si>
    <t>Rajkumar Hirani</t>
  </si>
  <si>
    <t>Taare Zameen Par</t>
  </si>
  <si>
    <t>Amole Gupte</t>
  </si>
  <si>
    <t>WALL·E</t>
  </si>
  <si>
    <t>98 min</t>
  </si>
  <si>
    <t>Andrew Stanton</t>
  </si>
  <si>
    <t>Ben Burtt</t>
  </si>
  <si>
    <t>The Lives of Others</t>
  </si>
  <si>
    <t>Florian Henckel von Donnersmarck</t>
  </si>
  <si>
    <t>Ulrich Mühe</t>
  </si>
  <si>
    <t>Oldeuboi</t>
  </si>
  <si>
    <t>101 min</t>
  </si>
  <si>
    <t>Chan-wook Park</t>
  </si>
  <si>
    <t>Choi Min-sik</t>
  </si>
  <si>
    <t>Memento</t>
  </si>
  <si>
    <t>113 min</t>
  </si>
  <si>
    <t>Mystery,</t>
  </si>
  <si>
    <t>Guy Pearce</t>
  </si>
  <si>
    <t>Mononoke-hime</t>
  </si>
  <si>
    <t>134 min</t>
  </si>
  <si>
    <t>Yôji Matsuda</t>
  </si>
  <si>
    <t>Once Upon a Time in America</t>
  </si>
  <si>
    <t>229 min</t>
  </si>
  <si>
    <t>Raiders of the Lost Ark</t>
  </si>
  <si>
    <t>115 min</t>
  </si>
  <si>
    <t>Harrison Ford</t>
  </si>
  <si>
    <t>The Shining</t>
  </si>
  <si>
    <t>Stanley Kubrick</t>
  </si>
  <si>
    <t>Apocalypse Now</t>
  </si>
  <si>
    <t>Martin Sheen</t>
  </si>
  <si>
    <t>Alien</t>
  </si>
  <si>
    <t>Sigourney Weaver</t>
  </si>
  <si>
    <t>Anand</t>
  </si>
  <si>
    <t>Hrishikesh Mukherjee</t>
  </si>
  <si>
    <t>Rajesh Khanna</t>
  </si>
  <si>
    <t>Tengoku to jigoku</t>
  </si>
  <si>
    <t>143 min</t>
  </si>
  <si>
    <t>Dr. Strangelove or: How I Learned to Stop Worrying and Love the Bomb</t>
  </si>
  <si>
    <t>95 min</t>
  </si>
  <si>
    <t>Comedy</t>
  </si>
  <si>
    <t>Peter Sellers</t>
  </si>
  <si>
    <t>Witness for the Prosecution</t>
  </si>
  <si>
    <t>Billy Wilder</t>
  </si>
  <si>
    <t>Tyrone Power</t>
  </si>
  <si>
    <t>Paths of Glory</t>
  </si>
  <si>
    <t>Kirk Douglas</t>
  </si>
  <si>
    <t>Rear Window</t>
  </si>
  <si>
    <t>Sunset Blvd.</t>
  </si>
  <si>
    <t>William Holden</t>
  </si>
  <si>
    <t>The Great Dictator</t>
  </si>
  <si>
    <t>Sam Mendes</t>
  </si>
  <si>
    <t>Dean-Charles Chapman</t>
  </si>
  <si>
    <t>Tumbbad</t>
  </si>
  <si>
    <t>104 min</t>
  </si>
  <si>
    <t>Rahi Anil Barve</t>
  </si>
  <si>
    <t>Anand Gandhi</t>
  </si>
  <si>
    <t>Andhadhun</t>
  </si>
  <si>
    <t>Sriram Raghavan</t>
  </si>
  <si>
    <t>Ayushmann Khurrana</t>
  </si>
  <si>
    <t>Drishyam</t>
  </si>
  <si>
    <t>Jeethu Joseph</t>
  </si>
  <si>
    <t>Mohanlal</t>
  </si>
  <si>
    <t>Jagten</t>
  </si>
  <si>
    <t>Thomas Vinterberg</t>
  </si>
  <si>
    <t>Mads Mikkelsen</t>
  </si>
  <si>
    <t>Jodaeiye Nader az Simin</t>
  </si>
  <si>
    <t>123 min</t>
  </si>
  <si>
    <t>Asghar Farhadi</t>
  </si>
  <si>
    <t>Payman Maadi</t>
  </si>
  <si>
    <t>Incendies</t>
  </si>
  <si>
    <t>131 min</t>
  </si>
  <si>
    <t>Denis Villeneuve</t>
  </si>
  <si>
    <t>Lubna Azabal</t>
  </si>
  <si>
    <t>Miracle in cell NO.7</t>
  </si>
  <si>
    <t>Mehmet Ada Öztekin</t>
  </si>
  <si>
    <t>Aras Bulut Iynemli</t>
  </si>
  <si>
    <t>Babam ve Oglum</t>
  </si>
  <si>
    <t>Çagan Irmak</t>
  </si>
  <si>
    <t>Çetin Tekindor</t>
  </si>
  <si>
    <t>Inglourious Basterds</t>
  </si>
  <si>
    <t>Eternal Sunshine of the Spotless Mind</t>
  </si>
  <si>
    <t>108 min</t>
  </si>
  <si>
    <t>Michel Gondry</t>
  </si>
  <si>
    <t>Jim Carrey</t>
  </si>
  <si>
    <t>Amélie</t>
  </si>
  <si>
    <t>Jean-Pierre Jeunet</t>
  </si>
  <si>
    <t>Audrey Tautou</t>
  </si>
  <si>
    <t>Snatch</t>
  </si>
  <si>
    <t>Guy Ritchie</t>
  </si>
  <si>
    <t>Jason Statham</t>
  </si>
  <si>
    <t>Requiem for a Dream</t>
  </si>
  <si>
    <t>Darren Aronofsky</t>
  </si>
  <si>
    <t>Ellen Burstyn</t>
  </si>
  <si>
    <t>American Beauty</t>
  </si>
  <si>
    <t>Good Will Hunting</t>
  </si>
  <si>
    <t>Gus Van Sant</t>
  </si>
  <si>
    <t>Robin Williams</t>
  </si>
  <si>
    <t>Bacheha-Ye aseman</t>
  </si>
  <si>
    <t>Majid Majidi</t>
  </si>
  <si>
    <t>Mohammad Amir Naji</t>
  </si>
  <si>
    <t>Toy Story</t>
  </si>
  <si>
    <t>81 min</t>
  </si>
  <si>
    <t>John Lasseter</t>
  </si>
  <si>
    <t>Braveheart</t>
  </si>
  <si>
    <t>Mel Gibson</t>
  </si>
  <si>
    <t>Reservoir Dogs</t>
  </si>
  <si>
    <t>99 min</t>
  </si>
  <si>
    <t>Harvey Keitel</t>
  </si>
  <si>
    <t>Full Metal Jacket</t>
  </si>
  <si>
    <t>Matthew Modine</t>
  </si>
  <si>
    <t>Idi i smotri</t>
  </si>
  <si>
    <t>Elem Klimov</t>
  </si>
  <si>
    <t>Aleksey Kravchenko</t>
  </si>
  <si>
    <t>Aliens</t>
  </si>
  <si>
    <t>Amadeus</t>
  </si>
  <si>
    <t>F. Murray Abraham</t>
  </si>
  <si>
    <t>Scarface</t>
  </si>
  <si>
    <t>Brian De Palma</t>
  </si>
  <si>
    <t>Star Wars: Episode VI - Return of the Jedi</t>
  </si>
  <si>
    <t>Richard Marquand</t>
  </si>
  <si>
    <t>Das Boot</t>
  </si>
  <si>
    <t>Wolfgang Petersen</t>
  </si>
  <si>
    <t>Jürgen Prochnow</t>
  </si>
  <si>
    <t>Taxi Driver</t>
  </si>
  <si>
    <t>114 min</t>
  </si>
  <si>
    <t>The Sting</t>
  </si>
  <si>
    <t>129 min</t>
  </si>
  <si>
    <t>George Roy Hill</t>
  </si>
  <si>
    <t>Paul Newman</t>
  </si>
  <si>
    <t>A Clockwork Orange</t>
  </si>
  <si>
    <t>Malcolm McDowell</t>
  </si>
  <si>
    <t>2001: A Space Odyssey</t>
  </si>
  <si>
    <t>Keir Dullea</t>
  </si>
  <si>
    <t>Per qualche dollaro in più</t>
  </si>
  <si>
    <t>Lawrence of Arabia</t>
  </si>
  <si>
    <t>228 min</t>
  </si>
  <si>
    <t>David Lean</t>
  </si>
  <si>
    <t>Peter O'Toole</t>
  </si>
  <si>
    <t>The Apartment</t>
  </si>
  <si>
    <t>Jack Lemmon</t>
  </si>
  <si>
    <t>North by Northwest</t>
  </si>
  <si>
    <t>Cary Grant</t>
  </si>
  <si>
    <t>Vertigo</t>
  </si>
  <si>
    <t>128 min</t>
  </si>
  <si>
    <t>Singin' in the Rain</t>
  </si>
  <si>
    <t>103 min</t>
  </si>
  <si>
    <t>Stanley Donen</t>
  </si>
  <si>
    <t>Gene Kelly</t>
  </si>
  <si>
    <t>Ikiru</t>
  </si>
  <si>
    <t>Takashi Shimura</t>
  </si>
  <si>
    <t>Ladri di biciclette</t>
  </si>
  <si>
    <t>Vittorio De Sica</t>
  </si>
  <si>
    <t>Lamberto Maggiorani</t>
  </si>
  <si>
    <t>Double Indemnity</t>
  </si>
  <si>
    <t>107 min</t>
  </si>
  <si>
    <t>Fred MacMurray</t>
  </si>
  <si>
    <t>Citizen Kane</t>
  </si>
  <si>
    <t>Orson Welles</t>
  </si>
  <si>
    <t>M - Eine Stadt sucht einen Mörder</t>
  </si>
  <si>
    <t>Fritz Lang</t>
  </si>
  <si>
    <t>Peter Lorre</t>
  </si>
  <si>
    <t>Metropolis</t>
  </si>
  <si>
    <t>Brigitte Helm</t>
  </si>
  <si>
    <t>The Kid</t>
  </si>
  <si>
    <t>68 min</t>
  </si>
  <si>
    <t>Chhichhore</t>
  </si>
  <si>
    <t>Sushant Singh Rajput</t>
  </si>
  <si>
    <t>Uri: The Surgical Strike</t>
  </si>
  <si>
    <t>138 min</t>
  </si>
  <si>
    <t>Aditya Dhar</t>
  </si>
  <si>
    <t>Vicky Kaushal</t>
  </si>
  <si>
    <t>K.G.F: Chapter 1</t>
  </si>
  <si>
    <t>156 min</t>
  </si>
  <si>
    <t>Prashanth Neel</t>
  </si>
  <si>
    <t>Yash</t>
  </si>
  <si>
    <t>Green Book</t>
  </si>
  <si>
    <t>Peter Farrelly</t>
  </si>
  <si>
    <t>Viggo Mortensen</t>
  </si>
  <si>
    <t>Three Billboards Outside Ebbing, Missouri</t>
  </si>
  <si>
    <t>Martin McDonagh</t>
  </si>
  <si>
    <t>Frances McDormand</t>
  </si>
  <si>
    <t>Talvar</t>
  </si>
  <si>
    <t>Meghna Gulzar</t>
  </si>
  <si>
    <t>Irrfan Khan</t>
  </si>
  <si>
    <t>Baahubali 2: The Conclusion</t>
  </si>
  <si>
    <t>167 min</t>
  </si>
  <si>
    <t>S.S. Rajamouli</t>
  </si>
  <si>
    <t>Prabhas</t>
  </si>
  <si>
    <t>Klaus</t>
  </si>
  <si>
    <t>Sergio Pablos</t>
  </si>
  <si>
    <t>Carlos Martínez López</t>
  </si>
  <si>
    <t>163 min</t>
  </si>
  <si>
    <t>Nishikant Kamat</t>
  </si>
  <si>
    <t>Ajay Devgn</t>
  </si>
  <si>
    <t>Queen</t>
  </si>
  <si>
    <t>Vikas Bahl</t>
  </si>
  <si>
    <t>Kangana Ranaut</t>
  </si>
  <si>
    <t>Mandariinid</t>
  </si>
  <si>
    <t>Zaza Urushadze</t>
  </si>
  <si>
    <t>Lembit Ulfsak</t>
  </si>
  <si>
    <t>Bhaag Milkha Bhaag</t>
  </si>
  <si>
    <t>186 min</t>
  </si>
  <si>
    <t>Rakeysh Omprakash Mehra</t>
  </si>
  <si>
    <t>Farhan Akhtar</t>
  </si>
  <si>
    <t>Gangs of Wasseypur</t>
  </si>
  <si>
    <t>321 min</t>
  </si>
  <si>
    <t>Anurag Kashyap</t>
  </si>
  <si>
    <t>Manoj Bajpayee</t>
  </si>
  <si>
    <t>Udaan</t>
  </si>
  <si>
    <t>Vikramaditya Motwane</t>
  </si>
  <si>
    <t>Rajat Barmecha</t>
  </si>
  <si>
    <t>Paan Singh Tomar</t>
  </si>
  <si>
    <t>135 min</t>
  </si>
  <si>
    <t>Tigmanshu Dhulia</t>
  </si>
  <si>
    <t>El secreto de sus ojos</t>
  </si>
  <si>
    <t>Juan José Campanella</t>
  </si>
  <si>
    <t>Ricardo Darín</t>
  </si>
  <si>
    <t>Warrior</t>
  </si>
  <si>
    <t>140 min</t>
  </si>
  <si>
    <t>Gavin O'Connor</t>
  </si>
  <si>
    <t>Tom Hardy</t>
  </si>
  <si>
    <t>Shutter Island</t>
  </si>
  <si>
    <t>Up</t>
  </si>
  <si>
    <t>Pete Docter</t>
  </si>
  <si>
    <t>Bob Peterson</t>
  </si>
  <si>
    <t>The Wolf of Wall Street</t>
  </si>
  <si>
    <t>180 min</t>
  </si>
  <si>
    <t>Chak De! India</t>
  </si>
  <si>
    <t>Shimit Amin</t>
  </si>
  <si>
    <t>Shah Rukh Khan</t>
  </si>
  <si>
    <t>There Will Be Blood</t>
  </si>
  <si>
    <t>158 min</t>
  </si>
  <si>
    <t>Paul Thomas Anderson</t>
  </si>
  <si>
    <t>Daniel Day-Lewis</t>
  </si>
  <si>
    <t>Pan's Labyrinth</t>
  </si>
  <si>
    <t>Guillermo del Toro</t>
  </si>
  <si>
    <t>Ivana Baquero</t>
  </si>
  <si>
    <t>Toy Story 3</t>
  </si>
  <si>
    <t>V for Vendetta</t>
  </si>
  <si>
    <t>James McTeigue</t>
  </si>
  <si>
    <t>Hugo Weaving</t>
  </si>
  <si>
    <t>Rang De Basanti</t>
  </si>
  <si>
    <t>Black</t>
  </si>
  <si>
    <t>Sanjay Leela Bhansali</t>
  </si>
  <si>
    <t>Amitabh Bachchan</t>
  </si>
  <si>
    <t>Batman Begins</t>
  </si>
  <si>
    <t>Swades: We, the People</t>
  </si>
  <si>
    <t>210 min</t>
  </si>
  <si>
    <t>Ashutosh Gowariker</t>
  </si>
  <si>
    <t>Der Untergang</t>
  </si>
  <si>
    <t>Oliver Hirschbiegel</t>
  </si>
  <si>
    <t>Bruno Ganz</t>
  </si>
  <si>
    <t>Hauru no ugoku shiro</t>
  </si>
  <si>
    <t>Chieko Baishô</t>
  </si>
  <si>
    <t>A Beautiful Mind</t>
  </si>
  <si>
    <t>Ron Howard</t>
  </si>
  <si>
    <t>Hera Pheri</t>
  </si>
  <si>
    <t>Priyadarshan</t>
  </si>
  <si>
    <t>Akshay Kumar</t>
  </si>
  <si>
    <t>Lock, Stock and Two Smoking Barrels</t>
  </si>
  <si>
    <t>Jason Flemyng</t>
  </si>
  <si>
    <t>L.A. Confidential</t>
  </si>
  <si>
    <t>Curtis Hanson</t>
  </si>
  <si>
    <t>Eskiya</t>
  </si>
  <si>
    <t>Yavuz Turgul</t>
  </si>
  <si>
    <t>Sener Sen</t>
  </si>
  <si>
    <t>Heat</t>
  </si>
  <si>
    <t>Michael Mann</t>
  </si>
  <si>
    <t>Casino</t>
  </si>
  <si>
    <t>Andaz Apna Apna</t>
  </si>
  <si>
    <t>Rajkumar Santoshi</t>
  </si>
  <si>
    <t>Unforgiven</t>
  </si>
  <si>
    <t>Indiana Jones and the Last Crusade</t>
  </si>
  <si>
    <t>Dom za vesanje</t>
  </si>
  <si>
    <t>Emir Kusturica</t>
  </si>
  <si>
    <t>Davor Dujmovic</t>
  </si>
  <si>
    <t>Tonari no Totoro</t>
  </si>
  <si>
    <t>86 min</t>
  </si>
  <si>
    <t>Hitoshi Takagi</t>
  </si>
  <si>
    <t>Die Hard</t>
  </si>
  <si>
    <t>John McTiernan</t>
  </si>
  <si>
    <t>Bruce Willis</t>
  </si>
  <si>
    <t>Ran</t>
  </si>
  <si>
    <t>162 min</t>
  </si>
  <si>
    <t>Raging Bull</t>
  </si>
  <si>
    <t>Stalker</t>
  </si>
  <si>
    <t>Andrei Tarkovsky</t>
  </si>
  <si>
    <t>Alisa Freyndlikh</t>
  </si>
  <si>
    <t>Höstsonaten</t>
  </si>
  <si>
    <t>Ingmar Bergman</t>
  </si>
  <si>
    <t>Ingrid Bergman</t>
  </si>
  <si>
    <t>The Message</t>
  </si>
  <si>
    <t>177 min</t>
  </si>
  <si>
    <t>Moustapha Akkad</t>
  </si>
  <si>
    <t>Anthony Quinn</t>
  </si>
  <si>
    <t>Sholay</t>
  </si>
  <si>
    <t>204 min</t>
  </si>
  <si>
    <t>Ramesh Sippy</t>
  </si>
  <si>
    <t>Sanjeev Kumar</t>
  </si>
  <si>
    <t>Monty Python and the Holy Grail</t>
  </si>
  <si>
    <t>91 min</t>
  </si>
  <si>
    <t>Terry Gilliam</t>
  </si>
  <si>
    <t>Terry Jones</t>
  </si>
  <si>
    <t>The Great Escape</t>
  </si>
  <si>
    <t>172 min</t>
  </si>
  <si>
    <t>John Sturges</t>
  </si>
  <si>
    <t>Steve McQueen</t>
  </si>
  <si>
    <t>To Kill a Mockingbird</t>
  </si>
  <si>
    <t>Robert Mulligan</t>
  </si>
  <si>
    <t>Gregory Peck</t>
  </si>
  <si>
    <t>Yôjinbô</t>
  </si>
  <si>
    <t>Judgment at Nuremberg</t>
  </si>
  <si>
    <t>Stanley Kramer</t>
  </si>
  <si>
    <t>Spencer Tracy</t>
  </si>
  <si>
    <t>Some Like It Hot</t>
  </si>
  <si>
    <t>Marilyn Monroe</t>
  </si>
  <si>
    <t>Smultronstället</t>
  </si>
  <si>
    <t>Victor Sjöström</t>
  </si>
  <si>
    <t>Det sjunde inseglet</t>
  </si>
  <si>
    <t>Max von Sydow</t>
  </si>
  <si>
    <t>Du rififi chez les hommes</t>
  </si>
  <si>
    <t>Jules Dassin</t>
  </si>
  <si>
    <t>Jean Servais</t>
  </si>
  <si>
    <t>Dial M for Murder</t>
  </si>
  <si>
    <t>Ray Milland</t>
  </si>
  <si>
    <t>Tôkyô monogatari</t>
  </si>
  <si>
    <t>Yasujirô Ozu</t>
  </si>
  <si>
    <t>Chishû Ryû</t>
  </si>
  <si>
    <t>Rashômon</t>
  </si>
  <si>
    <t>All About Eve</t>
  </si>
  <si>
    <t>Joseph L. Mankiewicz</t>
  </si>
  <si>
    <t>Bette Davis</t>
  </si>
  <si>
    <t>The Treasure of the Sierra Madre</t>
  </si>
  <si>
    <t>John Huston</t>
  </si>
  <si>
    <t>To Be or Not to Be</t>
  </si>
  <si>
    <t>Ernst Lubitsch</t>
  </si>
  <si>
    <t>Carole Lombard</t>
  </si>
  <si>
    <t>The Gold Rush</t>
  </si>
  <si>
    <t>Sherlock Jr.</t>
  </si>
  <si>
    <t>45 min</t>
  </si>
  <si>
    <t>Buster Keaton</t>
  </si>
  <si>
    <t>Portrait de la jeune fille en feu</t>
  </si>
  <si>
    <t>Céline Sciamma</t>
  </si>
  <si>
    <t>Noémie Merlant</t>
  </si>
  <si>
    <t>Pink</t>
  </si>
  <si>
    <t>Aniruddha Roy Chowdhury</t>
  </si>
  <si>
    <t>Taapsee Pannu</t>
  </si>
  <si>
    <t>Koe no katachi</t>
  </si>
  <si>
    <t>Naoko Yamada</t>
  </si>
  <si>
    <t>Miyu Irino</t>
  </si>
  <si>
    <t>Contratiempo</t>
  </si>
  <si>
    <t>Oriol Paulo</t>
  </si>
  <si>
    <t>Mario Casas</t>
  </si>
  <si>
    <t>Ah-ga-ssi</t>
  </si>
  <si>
    <t>145 min</t>
  </si>
  <si>
    <t>Kim Min-hee</t>
  </si>
  <si>
    <t>Mommy</t>
  </si>
  <si>
    <t>Xavier Dolan</t>
  </si>
  <si>
    <t>Anne Dorval</t>
  </si>
  <si>
    <t>Haider</t>
  </si>
  <si>
    <t>Vishal Bhardwaj</t>
  </si>
  <si>
    <t>Shahid Kapoor</t>
  </si>
  <si>
    <t>Logan</t>
  </si>
  <si>
    <t>James Mangold</t>
  </si>
  <si>
    <t>Hugh Jackman</t>
  </si>
  <si>
    <t>Room</t>
  </si>
  <si>
    <t>Lenny Abrahamson</t>
  </si>
  <si>
    <t>Brie Larson</t>
  </si>
  <si>
    <t>Relatos salvajes</t>
  </si>
  <si>
    <t>Damián Szifron</t>
  </si>
  <si>
    <t>Darío Grandinetti</t>
  </si>
  <si>
    <t>Soul</t>
  </si>
  <si>
    <t>100 min</t>
  </si>
  <si>
    <t>Kemp Powers</t>
  </si>
  <si>
    <t>Kis Uykusu</t>
  </si>
  <si>
    <t>196 min</t>
  </si>
  <si>
    <t>Nuri Bilge Ceylan</t>
  </si>
  <si>
    <t>Haluk Bilginer</t>
  </si>
  <si>
    <t>PK</t>
  </si>
  <si>
    <t>OMG: Oh My God!</t>
  </si>
  <si>
    <t>Umesh Shukla</t>
  </si>
  <si>
    <t>Paresh Rawal</t>
  </si>
  <si>
    <t>The Grand Budapest Hotel</t>
  </si>
  <si>
    <t>Wes Anderson</t>
  </si>
  <si>
    <t>Ralph Fiennes</t>
  </si>
  <si>
    <t>Gone Girl</t>
  </si>
  <si>
    <t>Ben Affleck</t>
  </si>
  <si>
    <t>Ôkami kodomo no Ame to Yuki</t>
  </si>
  <si>
    <t>Mamoru Hosoda</t>
  </si>
  <si>
    <t>Aoi Miyazaki</t>
  </si>
  <si>
    <t>Hacksaw Ridge</t>
  </si>
  <si>
    <t>Andrew Garfield</t>
  </si>
  <si>
    <t>Inside Out</t>
  </si>
  <si>
    <t>Ronnie Del Carmen</t>
  </si>
  <si>
    <t>Barfi!</t>
  </si>
  <si>
    <t>Anurag Basu</t>
  </si>
  <si>
    <t>Ranbir Kapoor</t>
  </si>
  <si>
    <t>12 Years a Slave</t>
  </si>
  <si>
    <t>Chiwetel Ejiofor</t>
  </si>
  <si>
    <t>Rush</t>
  </si>
  <si>
    <t>Daniel Brühl</t>
  </si>
  <si>
    <t>Ford v Ferrari</t>
  </si>
  <si>
    <t>Matt Damon</t>
  </si>
  <si>
    <t>Spotlight</t>
  </si>
  <si>
    <t>Tom McCarthy</t>
  </si>
  <si>
    <t>Mark Ruffalo</t>
  </si>
  <si>
    <t>Song of the Sea</t>
  </si>
  <si>
    <t>93 min</t>
  </si>
  <si>
    <t>Tomm Moore</t>
  </si>
  <si>
    <t>David Rawle</t>
  </si>
  <si>
    <t>Kahaani</t>
  </si>
  <si>
    <t>Sujoy Ghosh</t>
  </si>
  <si>
    <t>Vidya Balan</t>
  </si>
  <si>
    <t>Zindagi Na Milegi Dobara</t>
  </si>
  <si>
    <t>Zoya Akhtar</t>
  </si>
  <si>
    <t>Hrithik Roshan</t>
  </si>
  <si>
    <t>Prisoners</t>
  </si>
  <si>
    <t>Mad Max: Fury Road</t>
  </si>
  <si>
    <t>120 min</t>
  </si>
  <si>
    <t>George Miller</t>
  </si>
  <si>
    <t>A Wednesday</t>
  </si>
  <si>
    <t>Neeraj Pandey</t>
  </si>
  <si>
    <t>Anupam Kher</t>
  </si>
  <si>
    <t>Gran Torino</t>
  </si>
  <si>
    <t>Harry Potter and the Deathly Hallows: Part 2</t>
  </si>
  <si>
    <t>David Yates</t>
  </si>
  <si>
    <t>Daniel Radcliffe</t>
  </si>
  <si>
    <t>Okuribito</t>
  </si>
  <si>
    <t>Yôjirô Takita</t>
  </si>
  <si>
    <t>Masahiro Motoki</t>
  </si>
  <si>
    <t>Hachi: A Dog's Tale</t>
  </si>
  <si>
    <t>Lasse Hallström</t>
  </si>
  <si>
    <t>Richard Gere</t>
  </si>
  <si>
    <t>Mary and Max</t>
  </si>
  <si>
    <t>92 min</t>
  </si>
  <si>
    <t>Adam Elliot</t>
  </si>
  <si>
    <t>Toni Collette</t>
  </si>
  <si>
    <t>How to Train Your Dragon</t>
  </si>
  <si>
    <t>Dean DeBlois</t>
  </si>
  <si>
    <t>Chris Sanders</t>
  </si>
  <si>
    <t>Into the Wild</t>
  </si>
  <si>
    <t>Sean Penn</t>
  </si>
  <si>
    <t>Emile Hirsch</t>
  </si>
  <si>
    <t>No Country for Old Men</t>
  </si>
  <si>
    <t>Ethan Coen</t>
  </si>
  <si>
    <t>Joel Coen</t>
  </si>
  <si>
    <t>Lage Raho Munna Bhai</t>
  </si>
  <si>
    <t>144 min</t>
  </si>
  <si>
    <t>Sanjay Dutt</t>
  </si>
  <si>
    <t>Million Dollar Baby</t>
  </si>
  <si>
    <t>Hilary Swank</t>
  </si>
  <si>
    <t>Hotel Rwanda</t>
  </si>
  <si>
    <t>Terry George</t>
  </si>
  <si>
    <t>Don Cheadle</t>
  </si>
  <si>
    <t>Taegukgi hwinalrimyeo</t>
  </si>
  <si>
    <t>Je-kyu Kang</t>
  </si>
  <si>
    <t>Jang Dong-Gun</t>
  </si>
  <si>
    <t>Before Sunset</t>
  </si>
  <si>
    <t>80 min</t>
  </si>
  <si>
    <t>Richard Linklater</t>
  </si>
  <si>
    <t>Ethan Hawke</t>
  </si>
  <si>
    <t>Munna Bhai M.B.B.S.</t>
  </si>
  <si>
    <t>Salinui chueok</t>
  </si>
  <si>
    <t>Dil Chahta Hai</t>
  </si>
  <si>
    <t>183 min</t>
  </si>
  <si>
    <t>Kill Bill: Vol. 1</t>
  </si>
  <si>
    <t>111 min</t>
  </si>
  <si>
    <t>Uma Thurman</t>
  </si>
  <si>
    <t>Finding Nemo</t>
  </si>
  <si>
    <t>Catch Me If You Can</t>
  </si>
  <si>
    <t>141 min</t>
  </si>
  <si>
    <t>Amores perros</t>
  </si>
  <si>
    <t>Alejandro G. Iñárritu</t>
  </si>
  <si>
    <t>Emilio Echevarría</t>
  </si>
  <si>
    <t>Monsters, Inc.</t>
  </si>
  <si>
    <t>David Silverman</t>
  </si>
  <si>
    <t>Shin seiki Evangelion Gekijô-ban: Air/Magokoro wo, kimi ni</t>
  </si>
  <si>
    <t>Hideaki Anno</t>
  </si>
  <si>
    <t>Kazuya Tsurumaki</t>
  </si>
  <si>
    <t>Lagaan: Once Upon a Time in India</t>
  </si>
  <si>
    <t>224 min</t>
  </si>
  <si>
    <t>The Sixth Sense</t>
  </si>
  <si>
    <t>M. Night Shyamalan</t>
  </si>
  <si>
    <t>La leggenda del pianista sull'oceano</t>
  </si>
  <si>
    <t>Tim Roth</t>
  </si>
  <si>
    <t>The Truman Show</t>
  </si>
  <si>
    <t>Peter Weir</t>
  </si>
  <si>
    <t>Crna macka, beli macor</t>
  </si>
  <si>
    <t>Bajram Severdzan</t>
  </si>
  <si>
    <t>The Big Lebowski</t>
  </si>
  <si>
    <t>Fa yeung nin wah</t>
  </si>
  <si>
    <t>Kar-Wai Wong</t>
  </si>
  <si>
    <t>Tony Chiu-Wai Leung</t>
  </si>
  <si>
    <t>Trainspotting</t>
  </si>
  <si>
    <t>Danny Boyle</t>
  </si>
  <si>
    <t>Ewan McGregor</t>
  </si>
  <si>
    <t>Fargo</t>
  </si>
  <si>
    <t>Underground</t>
  </si>
  <si>
    <t>Predrag 'Miki' Manojlovic</t>
  </si>
  <si>
    <t>La haine</t>
  </si>
  <si>
    <t>Mathieu Kassovitz</t>
  </si>
  <si>
    <t>Vincent Cassel</t>
  </si>
  <si>
    <t>Dilwale Dulhania Le Jayenge</t>
  </si>
  <si>
    <t>Aditya Chopra</t>
  </si>
  <si>
    <t>Before Sunrise</t>
  </si>
  <si>
    <t>Trois couleurs: Rouge</t>
  </si>
  <si>
    <t>Krzysztof Kieslowski</t>
  </si>
  <si>
    <t>Irène Jacob</t>
  </si>
  <si>
    <t>Chung Hing sam lam</t>
  </si>
  <si>
    <t>Brigitte Lin</t>
  </si>
  <si>
    <t>Jurassic Park</t>
  </si>
  <si>
    <t>Sam Neill</t>
  </si>
  <si>
    <t>In the Name of the Father</t>
  </si>
  <si>
    <t>Jim Sheridan</t>
  </si>
  <si>
    <t>Ba wang bie ji</t>
  </si>
  <si>
    <t>171 min</t>
  </si>
  <si>
    <t>Kaige Chen</t>
  </si>
  <si>
    <t>Leslie Cheung</t>
  </si>
  <si>
    <t>Dà hóng denglong gaogao guà</t>
  </si>
  <si>
    <t>Yimou Zhang</t>
  </si>
  <si>
    <t>Gong Li</t>
  </si>
  <si>
    <t>Dead Poets Society</t>
  </si>
  <si>
    <t>Stand by Me</t>
  </si>
  <si>
    <t>Rob Reiner</t>
  </si>
  <si>
    <t>Wil Wheaton</t>
  </si>
  <si>
    <t>Platoon</t>
  </si>
  <si>
    <t>Oliver Stone</t>
  </si>
  <si>
    <t>Charlie Sheen</t>
  </si>
  <si>
    <t>Paris, Texas</t>
  </si>
  <si>
    <t>Wim Wenders</t>
  </si>
  <si>
    <t>Harry Dean Stanton</t>
  </si>
  <si>
    <t>Kaze no tani no Naushika</t>
  </si>
  <si>
    <t>Sumi Shimamoto</t>
  </si>
  <si>
    <t>The Thing</t>
  </si>
  <si>
    <t>John Carpenter</t>
  </si>
  <si>
    <t>Kurt Russell</t>
  </si>
  <si>
    <t>Pink Floyd: The Wall</t>
  </si>
  <si>
    <t>Alan Parker</t>
  </si>
  <si>
    <t>Bob Geldof</t>
  </si>
  <si>
    <t>Fitzcarraldo</t>
  </si>
  <si>
    <t>Werner Herzog</t>
  </si>
  <si>
    <t>Klaus Kinski</t>
  </si>
  <si>
    <t>Fanny och Alexander</t>
  </si>
  <si>
    <t>188 min</t>
  </si>
  <si>
    <t>Bertil Guve</t>
  </si>
  <si>
    <t>Blade Runner</t>
  </si>
  <si>
    <t>The Elephant Man</t>
  </si>
  <si>
    <t>David Lynch</t>
  </si>
  <si>
    <t>Anthony Hopkins</t>
  </si>
  <si>
    <t>Life of Brian</t>
  </si>
  <si>
    <t>94 min</t>
  </si>
  <si>
    <t>Graham Chapman</t>
  </si>
  <si>
    <t>The Deer Hunter</t>
  </si>
  <si>
    <t>Michael Cimino</t>
  </si>
  <si>
    <t>Rocky</t>
  </si>
  <si>
    <t>John G. Avildsen</t>
  </si>
  <si>
    <t>Sylvester Stallone</t>
  </si>
  <si>
    <t>Network</t>
  </si>
  <si>
    <t>Faye Dunaway</t>
  </si>
  <si>
    <t>Barry Lyndon</t>
  </si>
  <si>
    <t>185 min</t>
  </si>
  <si>
    <t>Ryan O'Neal</t>
  </si>
  <si>
    <t>Zerkalo</t>
  </si>
  <si>
    <t>Margarita Terekhova</t>
  </si>
  <si>
    <t>Chinatown</t>
  </si>
  <si>
    <t>Paper Moon</t>
  </si>
  <si>
    <t>Peter Bogdanovich</t>
  </si>
  <si>
    <t>Viskningar och rop</t>
  </si>
  <si>
    <t>Harriet Andersson</t>
  </si>
  <si>
    <t>Solaris</t>
  </si>
  <si>
    <t>Natalya Bondarchuk</t>
  </si>
  <si>
    <t>Le samouraï</t>
  </si>
  <si>
    <t>Jean-Pierre Melville</t>
  </si>
  <si>
    <t>Alain Delon</t>
  </si>
  <si>
    <t>Cool Hand Luke</t>
  </si>
  <si>
    <t>Stuart Rosenberg</t>
  </si>
  <si>
    <t>Persona</t>
  </si>
  <si>
    <t>85 min</t>
  </si>
  <si>
    <t>Bibi Andersson</t>
  </si>
  <si>
    <t>Andrei Rublev</t>
  </si>
  <si>
    <t>205 min</t>
  </si>
  <si>
    <t>Anatoliy Solonitsyn</t>
  </si>
  <si>
    <t>La battaglia di Algeri</t>
  </si>
  <si>
    <t>Gillo Pontecorvo</t>
  </si>
  <si>
    <t>Brahim Hadjadj</t>
  </si>
  <si>
    <t>El ángel exterminador</t>
  </si>
  <si>
    <t>Luis Buñuel</t>
  </si>
  <si>
    <t>Silvia Pinal</t>
  </si>
  <si>
    <t>What Ever Happened to Baby Jane?</t>
  </si>
  <si>
    <t>Robert Aldrich</t>
  </si>
  <si>
    <t>Sanjuro</t>
  </si>
  <si>
    <t>The Man Who Shot Liberty Valance</t>
  </si>
  <si>
    <t>John Ford</t>
  </si>
  <si>
    <t>Ivanovo detstvo</t>
  </si>
  <si>
    <t>Eduard Abalov</t>
  </si>
  <si>
    <t>Jungfrukällan</t>
  </si>
  <si>
    <t>Inherit the Wind</t>
  </si>
  <si>
    <t>Les quatre cents coups</t>
  </si>
  <si>
    <t>François Truffaut</t>
  </si>
  <si>
    <t>Jean-Pierre Léaud</t>
  </si>
  <si>
    <t>Ben-Hur</t>
  </si>
  <si>
    <t>212 min</t>
  </si>
  <si>
    <t>William Wyler</t>
  </si>
  <si>
    <t>Charlton Heston</t>
  </si>
  <si>
    <t>Kakushi-toride no san-akunin</t>
  </si>
  <si>
    <t>Le notti di Cabiria</t>
  </si>
  <si>
    <t>Federico Fellini</t>
  </si>
  <si>
    <t>Giulietta Masina</t>
  </si>
  <si>
    <t>Kumonosu-jô</t>
  </si>
  <si>
    <t>The Bridge on the River Kwai</t>
  </si>
  <si>
    <t>On the Waterfront</t>
  </si>
  <si>
    <t>Elia Kazan</t>
  </si>
  <si>
    <t>Le salaire de la peur</t>
  </si>
  <si>
    <t>Henri-Georges Clouzot</t>
  </si>
  <si>
    <t>Yves Montand</t>
  </si>
  <si>
    <t>Ace in the Hole</t>
  </si>
  <si>
    <t>White Heat</t>
  </si>
  <si>
    <t>Raoul Walsh</t>
  </si>
  <si>
    <t>James Cagney</t>
  </si>
  <si>
    <t>The Third Man</t>
  </si>
  <si>
    <t>Film-Noir,</t>
  </si>
  <si>
    <t>Carol Reed</t>
  </si>
  <si>
    <t>The Red Shoes</t>
  </si>
  <si>
    <t>Michael Powell</t>
  </si>
  <si>
    <t>Emeric Pressburger</t>
  </si>
  <si>
    <t>The Shop Around the Corner</t>
  </si>
  <si>
    <t>Margaret Sullavan</t>
  </si>
  <si>
    <t>Rebecca</t>
  </si>
  <si>
    <t>Laurence Olivier</t>
  </si>
  <si>
    <t>Mr. Smith Goes to Washington</t>
  </si>
  <si>
    <t>Gone with the Wind</t>
  </si>
  <si>
    <t>238 min</t>
  </si>
  <si>
    <t>Victor Fleming</t>
  </si>
  <si>
    <t>George Cukor</t>
  </si>
  <si>
    <t>La Grande Illusion</t>
  </si>
  <si>
    <t>Jean Renoir</t>
  </si>
  <si>
    <t>Jean Gabin</t>
  </si>
  <si>
    <t>It Happened One Night</t>
  </si>
  <si>
    <t>Clark Gable</t>
  </si>
  <si>
    <t>La passion de Jeanne d'Arc</t>
  </si>
  <si>
    <t>Carl Theodor Dreyer</t>
  </si>
  <si>
    <t>Maria Falconetti</t>
  </si>
  <si>
    <t>The Circus</t>
  </si>
  <si>
    <t>72 min</t>
  </si>
  <si>
    <t>Sunrise: A Song of Two Humans</t>
  </si>
  <si>
    <t>F.W. Murnau</t>
  </si>
  <si>
    <t>George O'Brien</t>
  </si>
  <si>
    <t>The General</t>
  </si>
  <si>
    <t>67 min</t>
  </si>
  <si>
    <t>Clyde Bruckman</t>
  </si>
  <si>
    <t>Das Cabinet des Dr. Caligari</t>
  </si>
  <si>
    <t>76 min</t>
  </si>
  <si>
    <t>Fantasy,</t>
  </si>
  <si>
    <t>Robert Wiene</t>
  </si>
  <si>
    <t>Werner Krauss</t>
  </si>
  <si>
    <t>Badhaai ho</t>
  </si>
  <si>
    <t>Amit Ravindernath Sharma</t>
  </si>
  <si>
    <t>Togo</t>
  </si>
  <si>
    <t>Ericson Core</t>
  </si>
  <si>
    <t>Willem Dafoe</t>
  </si>
  <si>
    <t>Airlift</t>
  </si>
  <si>
    <t>Raja Menon</t>
  </si>
  <si>
    <t>Bajrangi Bhaijaan</t>
  </si>
  <si>
    <t>Kabir Khan</t>
  </si>
  <si>
    <t>Salman Khan</t>
  </si>
  <si>
    <t>Baby</t>
  </si>
  <si>
    <t>159 min</t>
  </si>
  <si>
    <t>La La Land</t>
  </si>
  <si>
    <t>Ryan Gosling</t>
  </si>
  <si>
    <t>Lion</t>
  </si>
  <si>
    <t>Garth Davis</t>
  </si>
  <si>
    <t>Dev Patel</t>
  </si>
  <si>
    <t>The Martian</t>
  </si>
  <si>
    <t>Zootopia</t>
  </si>
  <si>
    <t>Byron Howard</t>
  </si>
  <si>
    <t>Rich Moore</t>
  </si>
  <si>
    <t>Bãhubali: The Beginning</t>
  </si>
  <si>
    <t>Kaguyahime no monogatari</t>
  </si>
  <si>
    <t>Chloë Grace Moretz</t>
  </si>
  <si>
    <t>Wonder</t>
  </si>
  <si>
    <t>Stephen Chbosky</t>
  </si>
  <si>
    <t>Jacob Tremblay</t>
  </si>
  <si>
    <t>Gully Boy</t>
  </si>
  <si>
    <t>Vijay Varma</t>
  </si>
  <si>
    <t>Special Chabbis</t>
  </si>
  <si>
    <t>Short Term 12</t>
  </si>
  <si>
    <t>Destin Daniel Cretton</t>
  </si>
  <si>
    <t>Serbuan maut 2: Berandal</t>
  </si>
  <si>
    <t>Gareth Evans</t>
  </si>
  <si>
    <t>Iko Uwais</t>
  </si>
  <si>
    <t>The Imitation Game</t>
  </si>
  <si>
    <t>Morten Tyldum</t>
  </si>
  <si>
    <t>Benedict Cumberbatch</t>
  </si>
  <si>
    <t>Guardians of the Galaxy</t>
  </si>
  <si>
    <t>James Gunn</t>
  </si>
  <si>
    <t>Chris Pratt</t>
  </si>
  <si>
    <t>Blade Runner 2049</t>
  </si>
  <si>
    <t>Her</t>
  </si>
  <si>
    <t>Spike Jonze</t>
  </si>
  <si>
    <t>Bohemian Rhapsody</t>
  </si>
  <si>
    <t>Rami Malek</t>
  </si>
  <si>
    <t>The Revenant</t>
  </si>
  <si>
    <t>The Perks of Being a Wallflower</t>
  </si>
  <si>
    <t>Logan Lerman</t>
  </si>
  <si>
    <t>Tropa de Elite 2: O Inimigo Agora é Outro</t>
  </si>
  <si>
    <t>José Padilha</t>
  </si>
  <si>
    <t>Wagner Moura</t>
  </si>
  <si>
    <t>The King's Speech</t>
  </si>
  <si>
    <t>Tom Hooper</t>
  </si>
  <si>
    <t>Colin Firth</t>
  </si>
  <si>
    <t>The Help</t>
  </si>
  <si>
    <t>Tate Taylor</t>
  </si>
  <si>
    <t>Emma Stone</t>
  </si>
  <si>
    <t>Deadpool</t>
  </si>
  <si>
    <t>Tim Miller</t>
  </si>
  <si>
    <t>Ryan Reynolds</t>
  </si>
  <si>
    <t>Darbareye Elly</t>
  </si>
  <si>
    <t>Golshifteh Farahani</t>
  </si>
  <si>
    <t>Dev.D</t>
  </si>
  <si>
    <t>Abhay Deol</t>
  </si>
  <si>
    <t>Yip Man</t>
  </si>
  <si>
    <t>Wilson Yip</t>
  </si>
  <si>
    <t>Donnie Yen</t>
  </si>
  <si>
    <t>My Name Is Khan</t>
  </si>
  <si>
    <t>Karan Johar</t>
  </si>
  <si>
    <t>Nefes: Vatan Sagolsun</t>
  </si>
  <si>
    <t>Levent Semerci</t>
  </si>
  <si>
    <t>Slumdog Millionaire</t>
  </si>
  <si>
    <t>Loveleen Tandan</t>
  </si>
  <si>
    <t>Black Swan</t>
  </si>
  <si>
    <t>Natalie Portman</t>
  </si>
  <si>
    <t>Tropa de Elite</t>
  </si>
  <si>
    <t>The Avengers</t>
  </si>
  <si>
    <t>Joss Whedon</t>
  </si>
  <si>
    <t>Robert Downey Jr.</t>
  </si>
  <si>
    <t>Persepolis</t>
  </si>
  <si>
    <t>Vincent Paronnaud</t>
  </si>
  <si>
    <t>Marjane Satrapi</t>
  </si>
  <si>
    <t>Dallas Buyers Club</t>
  </si>
  <si>
    <t>Jean-Marc Vallée</t>
  </si>
  <si>
    <t>The Pursuit of Happyness</t>
  </si>
  <si>
    <t>Gabriele Muccino</t>
  </si>
  <si>
    <t>Will Smith</t>
  </si>
  <si>
    <t>Blood Diamond</t>
  </si>
  <si>
    <t>Edward Zwick</t>
  </si>
  <si>
    <t>The Bourne Ultimatum</t>
  </si>
  <si>
    <t>Paul Greengrass</t>
  </si>
  <si>
    <t>Bin-jip</t>
  </si>
  <si>
    <t>Ki-duk Kim</t>
  </si>
  <si>
    <t>Seung-Yun Lee</t>
  </si>
  <si>
    <t>Sin City</t>
  </si>
  <si>
    <t>Frank Miller</t>
  </si>
  <si>
    <t>Le scaphandre et le papillon</t>
  </si>
  <si>
    <t>Julian Schnabel</t>
  </si>
  <si>
    <t>Laura Obiols</t>
  </si>
  <si>
    <t>G.O.R.A.</t>
  </si>
  <si>
    <t>Ömer Faruk Sorak</t>
  </si>
  <si>
    <t>Cem Yilmaz</t>
  </si>
  <si>
    <t>Ratatouille</t>
  </si>
  <si>
    <t>Brad Bird</t>
  </si>
  <si>
    <t>Jan Pinkava</t>
  </si>
  <si>
    <t>Casino Royale</t>
  </si>
  <si>
    <t>Martin Campbell</t>
  </si>
  <si>
    <t>Daniel Craig</t>
  </si>
  <si>
    <t>Kill Bill: Vol. 2</t>
  </si>
  <si>
    <t>Vozvrashchenie</t>
  </si>
  <si>
    <t>Andrey Zvyagintsev</t>
  </si>
  <si>
    <t>Vladimir Garin</t>
  </si>
  <si>
    <t>Bom Yeoareum Gaeul Gyeoul Geurigo Bom</t>
  </si>
  <si>
    <t>Mar adentro</t>
  </si>
  <si>
    <t>Alejandro Amenábar</t>
  </si>
  <si>
    <t>Javier Bardem</t>
  </si>
  <si>
    <t>Cinderella Man</t>
  </si>
  <si>
    <t>Kal Ho Naa Ho</t>
  </si>
  <si>
    <t>Nikkhil Advani</t>
  </si>
  <si>
    <t>Preity Zinta</t>
  </si>
  <si>
    <t>Mou gaan dou</t>
  </si>
  <si>
    <t>Andrew Lau</t>
  </si>
  <si>
    <t>Alan Mak</t>
  </si>
  <si>
    <t>Pirates of the Caribbean: The Curse of the Black Pearl</t>
  </si>
  <si>
    <t>Gore Verbinski</t>
  </si>
  <si>
    <t>Johnny Depp</t>
  </si>
  <si>
    <t>Big Fish</t>
  </si>
  <si>
    <t>Tim Burton</t>
  </si>
  <si>
    <t>The Incredibles</t>
  </si>
  <si>
    <t>Craig T. Nelson</t>
  </si>
  <si>
    <t>Yeopgijeogin geunyeo</t>
  </si>
  <si>
    <t>Jae-young Kwak</t>
  </si>
  <si>
    <t>Tae-Hyun Cha</t>
  </si>
  <si>
    <t>Dogville</t>
  </si>
  <si>
    <t>Lars von Trier</t>
  </si>
  <si>
    <t>Nicole Kidman</t>
  </si>
  <si>
    <t>Vizontele</t>
  </si>
  <si>
    <t>Yilmaz Erdogan</t>
  </si>
  <si>
    <t>Donnie Darko</t>
  </si>
  <si>
    <t>Richard Kelly</t>
  </si>
  <si>
    <t>Jake Gyllenhaal</t>
  </si>
  <si>
    <t>Magnolia</t>
  </si>
  <si>
    <t>Tom Cruise</t>
  </si>
  <si>
    <t>Dancer in the Dark</t>
  </si>
  <si>
    <t>Björk</t>
  </si>
  <si>
    <t>The Straight Story</t>
  </si>
  <si>
    <t>Richard Farnsworth</t>
  </si>
  <si>
    <t>Pâfekuto burû</t>
  </si>
  <si>
    <t>Satoshi Kon</t>
  </si>
  <si>
    <t>Junko Iwao</t>
  </si>
  <si>
    <t>Festen</t>
  </si>
  <si>
    <t>Ulrich Thomsen</t>
  </si>
  <si>
    <t>Central do Brasil</t>
  </si>
  <si>
    <t>Walter Salles</t>
  </si>
  <si>
    <t>Fernanda Montenegro</t>
  </si>
  <si>
    <t>The Iron Giant</t>
  </si>
  <si>
    <t>Eli Marienthal</t>
  </si>
  <si>
    <t>Knockin' on Heaven's Door</t>
  </si>
  <si>
    <t>Thomas Jahn</t>
  </si>
  <si>
    <t>Til Schweiger</t>
  </si>
  <si>
    <t>Sling Blade</t>
  </si>
  <si>
    <t>Billy Bob Thornton</t>
  </si>
  <si>
    <t>Secrets &amp; Lies</t>
  </si>
  <si>
    <t>Mike Leigh</t>
  </si>
  <si>
    <t>Timothy Spall</t>
  </si>
  <si>
    <t>Twelve Monkeys</t>
  </si>
  <si>
    <t>Kôkaku Kidôtai</t>
  </si>
  <si>
    <t>83 min</t>
  </si>
  <si>
    <t>Mamoru Oshii</t>
  </si>
  <si>
    <t>Atsuko Tanaka</t>
  </si>
  <si>
    <t>The Nightmare Before Christmas</t>
  </si>
  <si>
    <t>Henry Selick</t>
  </si>
  <si>
    <t>Danny Elfman</t>
  </si>
  <si>
    <t>Groundhog Day</t>
  </si>
  <si>
    <t>Harold Ramis</t>
  </si>
  <si>
    <t>Bill Murray</t>
  </si>
  <si>
    <t>Bound by Honor</t>
  </si>
  <si>
    <t>Taylor Hackford</t>
  </si>
  <si>
    <t>Damian Chapa</t>
  </si>
  <si>
    <t>Scent of a Woman</t>
  </si>
  <si>
    <t>Martin Brest</t>
  </si>
  <si>
    <t>Aladdin</t>
  </si>
  <si>
    <t>90 min</t>
  </si>
  <si>
    <t>Ron Clements</t>
  </si>
  <si>
    <t>John Musker</t>
  </si>
  <si>
    <t>JFK</t>
  </si>
  <si>
    <t>Kevin Costner</t>
  </si>
  <si>
    <t>Beauty and the Beast</t>
  </si>
  <si>
    <t>84 min</t>
  </si>
  <si>
    <t>Gary Trousdale</t>
  </si>
  <si>
    <t>Kirk Wise</t>
  </si>
  <si>
    <t>Dances with Wolves</t>
  </si>
  <si>
    <t>Do the Right Thing</t>
  </si>
  <si>
    <t>Spike Lee</t>
  </si>
  <si>
    <t>Danny Aiello</t>
  </si>
  <si>
    <t>Rain Man</t>
  </si>
  <si>
    <t>Barry Levinson</t>
  </si>
  <si>
    <t>Dustin Hoffman</t>
  </si>
  <si>
    <t>Akira</t>
  </si>
  <si>
    <t>Katsuhiro Ôtomo</t>
  </si>
  <si>
    <t>Mitsuo Iwata</t>
  </si>
  <si>
    <t>The Princess Bride</t>
  </si>
  <si>
    <t>Cary Elwes</t>
  </si>
  <si>
    <t>Der Himmel über Berlin</t>
  </si>
  <si>
    <t>Au revoir les enfants</t>
  </si>
  <si>
    <t>Louis Malle</t>
  </si>
  <si>
    <t>Gaspard Manesse</t>
  </si>
  <si>
    <t>Tenkû no shiro Rapyuta</t>
  </si>
  <si>
    <t>Mayumi Tanaka</t>
  </si>
  <si>
    <t>The Terminator</t>
  </si>
  <si>
    <t>Gandhi</t>
  </si>
  <si>
    <t>191 min</t>
  </si>
  <si>
    <t>Richard Attenborough</t>
  </si>
  <si>
    <t>Ben Kingsley</t>
  </si>
  <si>
    <t>Kagemusha</t>
  </si>
  <si>
    <t>Being There</t>
  </si>
  <si>
    <t>Hal Ashby</t>
  </si>
  <si>
    <t>Annie Hall</t>
  </si>
  <si>
    <t>Woody Allen</t>
  </si>
  <si>
    <t>Jaws</t>
  </si>
  <si>
    <t>Roy Scheider</t>
  </si>
  <si>
    <t>Dog Day Afternoon</t>
  </si>
  <si>
    <t>Young Frankenstein</t>
  </si>
  <si>
    <t>Mel Brooks</t>
  </si>
  <si>
    <t>Gene Wilder</t>
  </si>
  <si>
    <t>Papillon</t>
  </si>
  <si>
    <t>Franklin J. Schaffner</t>
  </si>
  <si>
    <t>The Exorcist</t>
  </si>
  <si>
    <t>Horror</t>
  </si>
  <si>
    <t>William Friedkin</t>
  </si>
  <si>
    <t>Sleuth</t>
  </si>
  <si>
    <t>The Last Picture Show</t>
  </si>
  <si>
    <t>Timothy Bottoms</t>
  </si>
  <si>
    <t>Fiddler on the Roof</t>
  </si>
  <si>
    <t>Norman Jewison</t>
  </si>
  <si>
    <t>Topol</t>
  </si>
  <si>
    <t>Il conformista</t>
  </si>
  <si>
    <t>Bernardo Bertolucci</t>
  </si>
  <si>
    <t>Jean-Louis Trintignant</t>
  </si>
  <si>
    <t>Butch Cassidy and the Sundance Kid</t>
  </si>
  <si>
    <t>Rosemary's Baby</t>
  </si>
  <si>
    <t>Mia Farrow</t>
  </si>
  <si>
    <t>Planet of the Apes</t>
  </si>
  <si>
    <t>The Graduate</t>
  </si>
  <si>
    <t>Mike Nichols</t>
  </si>
  <si>
    <t>Who's Afraid of Virginia Woolf?</t>
  </si>
  <si>
    <t>Elizabeth Taylor</t>
  </si>
  <si>
    <t>The Sound of Music</t>
  </si>
  <si>
    <t>Robert Wise</t>
  </si>
  <si>
    <t>Julie Andrews</t>
  </si>
  <si>
    <t>Doctor Zhivago</t>
  </si>
  <si>
    <t>197 min</t>
  </si>
  <si>
    <t>Omar Sharif</t>
  </si>
  <si>
    <t>Per un pugno di dollari</t>
  </si>
  <si>
    <t>8½</t>
  </si>
  <si>
    <t>Marcello Mastroianni</t>
  </si>
  <si>
    <t>Vivre sa vie: Film en douze tableaux</t>
  </si>
  <si>
    <t>Jean-Luc Godard</t>
  </si>
  <si>
    <t>Anna Karina</t>
  </si>
  <si>
    <t>The Hustler</t>
  </si>
  <si>
    <t>Robert Rossen</t>
  </si>
  <si>
    <t>La dolce vita</t>
  </si>
  <si>
    <t>174 min</t>
  </si>
  <si>
    <t>Rio Bravo</t>
  </si>
  <si>
    <t>Howard Hawks</t>
  </si>
  <si>
    <t>John Wayne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</si>
  <si>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</si>
  <si>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</si>
  <si>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</si>
  <si>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</si>
  <si>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</si>
  <si>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</si>
  <si>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</si>
  <si>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Burt Lancaster</t>
  </si>
  <si>
    <t>The Killing</t>
  </si>
  <si>
    <t>Sterling Hayden</t>
  </si>
  <si>
    <t>The Night of the Hunter</t>
  </si>
  <si>
    <t>Charles Laughton</t>
  </si>
  <si>
    <t>Robert Mitchum</t>
  </si>
  <si>
    <t>La Strada</t>
  </si>
  <si>
    <t>Les diaboliques</t>
  </si>
  <si>
    <t>Simone Signoret</t>
  </si>
  <si>
    <t>Stalag 17</t>
  </si>
  <si>
    <t>Roman Holiday</t>
  </si>
  <si>
    <t>A Streetcar Named Desire</t>
  </si>
  <si>
    <t>Vivien Leigh</t>
  </si>
  <si>
    <t>In a Lonely Place</t>
  </si>
  <si>
    <t>Nicholas Ray</t>
  </si>
  <si>
    <t>Kind Hearts and Coronets</t>
  </si>
  <si>
    <t>Robert Hamer</t>
  </si>
  <si>
    <t>Dennis Price</t>
  </si>
  <si>
    <t>Rope</t>
  </si>
  <si>
    <t>Out of the Past</t>
  </si>
  <si>
    <t>97 min</t>
  </si>
  <si>
    <t>Jacques Tourneur</t>
  </si>
  <si>
    <t>Brief Encounter</t>
  </si>
  <si>
    <t>Celia Johnson</t>
  </si>
  <si>
    <t>Laura</t>
  </si>
  <si>
    <t>Gene Tierney</t>
  </si>
  <si>
    <t>The Best Years of Our Lives</t>
  </si>
  <si>
    <t>Myrna Loy</t>
  </si>
  <si>
    <t>Arsenic and Old Lace</t>
  </si>
  <si>
    <t>The Maltese Falcon</t>
  </si>
  <si>
    <t>The Grapes of Wrath</t>
  </si>
  <si>
    <t>The Wizard of Oz</t>
  </si>
  <si>
    <t>La règle du jeu</t>
  </si>
  <si>
    <t>Marcel Dalio</t>
  </si>
  <si>
    <t>The Thin Man</t>
  </si>
  <si>
    <t>W.S. Van Dyke</t>
  </si>
  <si>
    <t>William Powell</t>
  </si>
  <si>
    <t>All Quiet on the Western Front</t>
  </si>
  <si>
    <t>Lewis Milestone</t>
  </si>
  <si>
    <t>Lew Ayres</t>
  </si>
  <si>
    <t>Bronenosets Potemkin</t>
  </si>
  <si>
    <t>75 min</t>
  </si>
  <si>
    <t>Sergei M. Eisenstein</t>
  </si>
  <si>
    <t>Aleksandr Antonov</t>
  </si>
  <si>
    <t>Knives Out</t>
  </si>
  <si>
    <t>Rian Johnson</t>
  </si>
  <si>
    <t>Dil Bechara</t>
  </si>
  <si>
    <t>Mukesh Chhabra</t>
  </si>
  <si>
    <t>Manbiki kazoku</t>
  </si>
  <si>
    <t>Hirokazu Koreeda</t>
  </si>
  <si>
    <t>Lily Franky</t>
  </si>
  <si>
    <t>Marriage Story</t>
  </si>
  <si>
    <t>Noah Baumbach</t>
  </si>
  <si>
    <t>Adam Driver</t>
  </si>
  <si>
    <t>Call Me by Your Name</t>
  </si>
  <si>
    <t>Luca Guadagnino</t>
  </si>
  <si>
    <t>Armie Hammer</t>
  </si>
  <si>
    <t>I, Daniel Blake</t>
  </si>
  <si>
    <t>Ken Loach</t>
  </si>
  <si>
    <t>Isle of Dogs</t>
  </si>
  <si>
    <t>Bryan Cranston</t>
  </si>
  <si>
    <t>Hunt for the Wilderpeople</t>
  </si>
  <si>
    <t>Taika Waititi</t>
  </si>
  <si>
    <t>Captain Fantastic</t>
  </si>
  <si>
    <t>Matt Ross</t>
  </si>
  <si>
    <t>Sing Street</t>
  </si>
  <si>
    <t>John Carney</t>
  </si>
  <si>
    <t>Ferdia Walsh-Peelo</t>
  </si>
  <si>
    <t>Thor: Ragnarok</t>
  </si>
  <si>
    <t>Chris Hemsworth</t>
  </si>
  <si>
    <t>Nightcrawler</t>
  </si>
  <si>
    <t>Dan Gilroy</t>
  </si>
  <si>
    <t>Jojo Rabbit</t>
  </si>
  <si>
    <t>Roman Griffin Davis</t>
  </si>
  <si>
    <t>Arrival</t>
  </si>
  <si>
    <t>Amy Adams</t>
  </si>
  <si>
    <t>Star Wars: Episode VII - The Force Awakens</t>
  </si>
  <si>
    <t>J.J. Abrams</t>
  </si>
  <si>
    <t>Daisy Ridley</t>
  </si>
  <si>
    <t>Before Midnight</t>
  </si>
  <si>
    <t>X-Men: Days of Future Past</t>
  </si>
  <si>
    <t>Patrick Stewart</t>
  </si>
  <si>
    <t>Bir Zamanlar Anadolu'da</t>
  </si>
  <si>
    <t>157 min</t>
  </si>
  <si>
    <t>Muhammet Uzuner</t>
  </si>
  <si>
    <t>The Artist</t>
  </si>
  <si>
    <t>Michel Hazanavicius</t>
  </si>
  <si>
    <t>Jean Dujardin</t>
  </si>
  <si>
    <t>Edge of Tomorrow</t>
  </si>
  <si>
    <t>Doug Liman</t>
  </si>
  <si>
    <t>Amour</t>
  </si>
  <si>
    <t>Michael Haneke</t>
  </si>
  <si>
    <t>The Irishman</t>
  </si>
  <si>
    <t>209 min</t>
  </si>
  <si>
    <t>Un prophète</t>
  </si>
  <si>
    <t>Jacques Audiard</t>
  </si>
  <si>
    <t>Tahar Rahim</t>
  </si>
  <si>
    <t>Moon</t>
  </si>
  <si>
    <t>Duncan Jones</t>
  </si>
  <si>
    <t>Sam Rockwell</t>
  </si>
  <si>
    <t>Låt den rätte komma in</t>
  </si>
  <si>
    <t>Tomas Alfredson</t>
  </si>
  <si>
    <t>Kåre Hedebrant</t>
  </si>
  <si>
    <t>District 9</t>
  </si>
  <si>
    <t>Neill Blomkamp</t>
  </si>
  <si>
    <t>Sharlto Copley</t>
  </si>
  <si>
    <t>The Wrestler</t>
  </si>
  <si>
    <t>Mickey Rourke</t>
  </si>
  <si>
    <t>Jab We Met</t>
  </si>
  <si>
    <t>Imtiaz Ali</t>
  </si>
  <si>
    <t>Boyhood</t>
  </si>
  <si>
    <t>Ellar Coltrane</t>
  </si>
  <si>
    <t>4 luni, 3 saptamâni si 2 zile</t>
  </si>
  <si>
    <t>Cristian Mungiu</t>
  </si>
  <si>
    <t>Anamaria Marinca</t>
  </si>
  <si>
    <t>Star Trek</t>
  </si>
  <si>
    <t>Chris Pine</t>
  </si>
  <si>
    <t>In Bruges</t>
  </si>
  <si>
    <t>Colin Farrell</t>
  </si>
  <si>
    <t>The Man from Earth</t>
  </si>
  <si>
    <t>Richard Schenkman</t>
  </si>
  <si>
    <t>David Lee Smith</t>
  </si>
  <si>
    <t>Letters from Iwo Jima</t>
  </si>
  <si>
    <t>Ken Watanabe</t>
  </si>
  <si>
    <t>The Fall</t>
  </si>
  <si>
    <t>Tarsem Singh</t>
  </si>
  <si>
    <t>Lee Pace</t>
  </si>
  <si>
    <t>Life of Pi</t>
  </si>
  <si>
    <t>Ang Lee</t>
  </si>
  <si>
    <t>Suraj Sharma</t>
  </si>
  <si>
    <t>Fantastic Mr. Fox</t>
  </si>
  <si>
    <t>George Clooney</t>
  </si>
  <si>
    <t>C.R.A.Z.Y.</t>
  </si>
  <si>
    <t>Michel Côté</t>
  </si>
  <si>
    <t>Les choristes</t>
  </si>
  <si>
    <t>Christophe Barratier</t>
  </si>
  <si>
    <t>Gérard Jugnot</t>
  </si>
  <si>
    <t>Iron Man</t>
  </si>
  <si>
    <t>Jon Favreau</t>
  </si>
  <si>
    <t>Shaun of the Dead</t>
  </si>
  <si>
    <t>Edgar Wright</t>
  </si>
  <si>
    <t>Simon Pegg</t>
  </si>
  <si>
    <t>Gegen die Wand</t>
  </si>
  <si>
    <t>Fatih Akin</t>
  </si>
  <si>
    <t>Birol Ünel</t>
  </si>
  <si>
    <t>Mystic River</t>
  </si>
  <si>
    <t>Harry Potter and the Prisoner of Azkaban</t>
  </si>
  <si>
    <t>Alfonso Cuarón</t>
  </si>
  <si>
    <t>Ying xiong</t>
  </si>
  <si>
    <t>Jet Li</t>
  </si>
  <si>
    <t>Hable con ella</t>
  </si>
  <si>
    <t>Pedro Almodóvar</t>
  </si>
  <si>
    <t>Rosario Flores</t>
  </si>
  <si>
    <t>No Man's Land</t>
  </si>
  <si>
    <t>Danis Tanovic</t>
  </si>
  <si>
    <t>Branko Djuric</t>
  </si>
  <si>
    <t>Cowboy Bebop: Tengoku no tobira</t>
  </si>
  <si>
    <t>Shin'ichirô Watanabe</t>
  </si>
  <si>
    <t>Tensai Okamura</t>
  </si>
  <si>
    <t>The Bourne Identity</t>
  </si>
  <si>
    <t>Franka Potente</t>
  </si>
  <si>
    <t>Nueve reinas</t>
  </si>
  <si>
    <t>Fabián Bielinsky</t>
  </si>
  <si>
    <t>Children of Men</t>
  </si>
  <si>
    <t>Julianne Moore</t>
  </si>
  <si>
    <t>Almost Famous</t>
  </si>
  <si>
    <t>Cameron Crowe</t>
  </si>
  <si>
    <t>Billy Crudup</t>
  </si>
  <si>
    <t>Mulholland Dr.</t>
  </si>
  <si>
    <t>Naomi Watts</t>
  </si>
  <si>
    <t>Toy Story 2</t>
  </si>
  <si>
    <t>Ash Brannon</t>
  </si>
  <si>
    <t>Boogie Nights</t>
  </si>
  <si>
    <t>Mark Wahlberg</t>
  </si>
  <si>
    <t>Mimi wo sumaseba</t>
  </si>
  <si>
    <t>Yoshifumi Kondô</t>
  </si>
  <si>
    <t>Yoko Honna</t>
  </si>
  <si>
    <t>Once Were Warriors</t>
  </si>
  <si>
    <t>Lee Tamahori</t>
  </si>
  <si>
    <t>Rena Owen</t>
  </si>
  <si>
    <t>True Romance</t>
  </si>
  <si>
    <t>Tony Scott</t>
  </si>
  <si>
    <t>Christian Slater</t>
  </si>
  <si>
    <t>Trois couleurs: Bleu</t>
  </si>
  <si>
    <t>Juliette Binoche</t>
  </si>
  <si>
    <t>Jûbê ninpûchô</t>
  </si>
  <si>
    <t>Yoshiaki Kawajiri</t>
  </si>
  <si>
    <t>Kôichi Yamadera</t>
  </si>
  <si>
    <t>Carlito's Way</t>
  </si>
  <si>
    <t>Edward Scissorhands</t>
  </si>
  <si>
    <t>My Left Foot: The Story of Christy Brown</t>
  </si>
  <si>
    <t>Crimes and Misdemeanors</t>
  </si>
  <si>
    <t>Martin Landau</t>
  </si>
  <si>
    <t>The Untouchables</t>
  </si>
  <si>
    <t>Hannah and Her Sisters</t>
  </si>
  <si>
    <t>Brazil</t>
  </si>
  <si>
    <t>Jonathan Pryce</t>
  </si>
  <si>
    <t>This Is Spinal Tap</t>
  </si>
  <si>
    <t>82 min</t>
  </si>
  <si>
    <t>A Christmas Story</t>
  </si>
  <si>
    <t>Bob Clark</t>
  </si>
  <si>
    <t>Peter Billingsley</t>
  </si>
  <si>
    <t>The Blues Brothers</t>
  </si>
  <si>
    <t>John Landis</t>
  </si>
  <si>
    <t>John Belushi</t>
  </si>
  <si>
    <t>Manhattan</t>
  </si>
  <si>
    <t>All That Jazz</t>
  </si>
  <si>
    <t>Bob Fosse</t>
  </si>
  <si>
    <t>Dawn of the Dead</t>
  </si>
  <si>
    <t>George A. Romero</t>
  </si>
  <si>
    <t>David Emge</t>
  </si>
  <si>
    <t>All the President's Men</t>
  </si>
  <si>
    <t>Alan J. Pakula</t>
  </si>
  <si>
    <t>La montaña sagrada</t>
  </si>
  <si>
    <t>Alejandro Jodorowsky</t>
  </si>
  <si>
    <t>Amarcord</t>
  </si>
  <si>
    <t>Magali Noël</t>
  </si>
  <si>
    <t>Le charme discret de la bourgeoisie</t>
  </si>
  <si>
    <t>Fernando Rey</t>
  </si>
  <si>
    <t>Aguirre, der Zorn Gottes</t>
  </si>
  <si>
    <t>Harold and Maude</t>
  </si>
  <si>
    <t>Ruth Gordon</t>
  </si>
  <si>
    <t>Patton</t>
  </si>
  <si>
    <t>George C. Scott</t>
  </si>
  <si>
    <t>The Wild Bunch</t>
  </si>
  <si>
    <t>Sam Peckinpah</t>
  </si>
  <si>
    <t>Night of the Living Dead</t>
  </si>
  <si>
    <t>Duane Jones</t>
  </si>
  <si>
    <t>The Lion in Winter</t>
  </si>
  <si>
    <t>Anthony Harvey</t>
  </si>
  <si>
    <t>In the Heat of the Night</t>
  </si>
  <si>
    <t>Sidney Poitier</t>
  </si>
  <si>
    <t>Charade</t>
  </si>
  <si>
    <t>The Manchurian Candidate</t>
  </si>
  <si>
    <t>John Frankenheimer</t>
  </si>
  <si>
    <t>Frank Sinatra</t>
  </si>
  <si>
    <t>Spartacus</t>
  </si>
  <si>
    <t>L'avventura</t>
  </si>
  <si>
    <t>Michelangelo Antonioni</t>
  </si>
  <si>
    <t>Gabriele Ferzetti</t>
  </si>
  <si>
    <t>Hiroshima mon amour</t>
  </si>
  <si>
    <t>Alain Resnais</t>
  </si>
  <si>
    <t>Emmanuelle Riva</t>
  </si>
  <si>
    <t>The Ten Commandments</t>
  </si>
  <si>
    <t>220 min</t>
  </si>
  <si>
    <t>Cecil B. DeMille</t>
  </si>
  <si>
    <t>The Searchers</t>
  </si>
  <si>
    <t>East of Eden</t>
  </si>
  <si>
    <t>James Dean</t>
  </si>
  <si>
    <t>High Noon</t>
  </si>
  <si>
    <t>Fred Zinnemann</t>
  </si>
  <si>
    <t>Gary Cooper</t>
  </si>
  <si>
    <t>Strangers on a Train</t>
  </si>
  <si>
    <t>Farley Granger</t>
  </si>
  <si>
    <t>Harvey</t>
  </si>
  <si>
    <t>Henry Koster</t>
  </si>
  <si>
    <t>Miracle on 34th Street</t>
  </si>
  <si>
    <t>George Seaton</t>
  </si>
  <si>
    <t>Edmund Gwenn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</si>
  <si>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</si>
  <si>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</si>
  <si>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</si>
  <si>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</si>
  <si>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</si>
  <si>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</si>
  <si>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William Keighley</t>
  </si>
  <si>
    <t>A Night at the Opera</t>
  </si>
  <si>
    <t>Sam Wood</t>
  </si>
  <si>
    <t>Edmund Goulding</t>
  </si>
  <si>
    <t>King Kong</t>
  </si>
  <si>
    <t>Merian C. Cooper</t>
  </si>
  <si>
    <t>Ernest B. Schoedsack</t>
  </si>
  <si>
    <t>Freaks</t>
  </si>
  <si>
    <t>64 min</t>
  </si>
  <si>
    <t>Tod Browning</t>
  </si>
  <si>
    <t>Wallace Ford</t>
  </si>
  <si>
    <t>Nosferatu</t>
  </si>
  <si>
    <t>Max Schreck</t>
  </si>
  <si>
    <t>The Gentlemen</t>
  </si>
  <si>
    <t>Raazi</t>
  </si>
  <si>
    <t>Alia Bhatt</t>
  </si>
  <si>
    <t>Sound of Metal</t>
  </si>
  <si>
    <t>Darius Marder</t>
  </si>
  <si>
    <t>Riz Ahmed</t>
  </si>
  <si>
    <t>Forushande</t>
  </si>
  <si>
    <t>Shahab Hosseini</t>
  </si>
  <si>
    <t>Dunkirk</t>
  </si>
  <si>
    <t>Fionn Whitehead</t>
  </si>
  <si>
    <t>Perfetti sconosciuti</t>
  </si>
  <si>
    <t>Paolo Genovese</t>
  </si>
  <si>
    <t>Giuseppe Battiston</t>
  </si>
  <si>
    <t>Hidden Figures</t>
  </si>
  <si>
    <t>Theodore Melfi</t>
  </si>
  <si>
    <t>Taraji P. Henson</t>
  </si>
  <si>
    <t>Paddington 2</t>
  </si>
  <si>
    <t>Paul King</t>
  </si>
  <si>
    <t>Ben Whishaw</t>
  </si>
  <si>
    <t>Udta Punjab</t>
  </si>
  <si>
    <t>Abhishek Chaubey</t>
  </si>
  <si>
    <t>Kubo and the Two Strings</t>
  </si>
  <si>
    <t>Travis Knight</t>
  </si>
  <si>
    <t>Charlize Theron</t>
  </si>
  <si>
    <t>M.S. Dhoni: The Untold Story</t>
  </si>
  <si>
    <t>184 min</t>
  </si>
  <si>
    <t>Manchester by the Sea</t>
  </si>
  <si>
    <t>Kenneth Lonergan</t>
  </si>
  <si>
    <t>Casey Affleck</t>
  </si>
  <si>
    <t>Under sandet</t>
  </si>
  <si>
    <t>Martin Zandvliet</t>
  </si>
  <si>
    <t>Roland Møller</t>
  </si>
  <si>
    <t>Rogue One</t>
  </si>
  <si>
    <t>Gareth Edwards</t>
  </si>
  <si>
    <t>Felicity Jones</t>
  </si>
  <si>
    <t>Captain America: Civil War</t>
  </si>
  <si>
    <t>The Hateful Eight</t>
  </si>
  <si>
    <t>168 min</t>
  </si>
  <si>
    <t>Samuel L. Jackson</t>
  </si>
  <si>
    <t>Little Women</t>
  </si>
  <si>
    <t>Greta Gerwig</t>
  </si>
  <si>
    <t>Saoirse Ronan</t>
  </si>
  <si>
    <t>Loving Vincent</t>
  </si>
  <si>
    <t>Dorota Kobiela</t>
  </si>
  <si>
    <t>Hugh Welchman</t>
  </si>
  <si>
    <t>Pride</t>
  </si>
  <si>
    <t>Matthew Warchus</t>
  </si>
  <si>
    <t>Bill Nighy</t>
  </si>
  <si>
    <t>Le passé</t>
  </si>
  <si>
    <t>Bérénice Bejo</t>
  </si>
  <si>
    <t>La grande bellezza</t>
  </si>
  <si>
    <t>Paolo Sorrentino</t>
  </si>
  <si>
    <t>Toni Servillo</t>
  </si>
  <si>
    <t>The Lunchbox</t>
  </si>
  <si>
    <t>Ritesh Batra</t>
  </si>
  <si>
    <t>Vicky Donor</t>
  </si>
  <si>
    <t>Shoojit Sircar</t>
  </si>
  <si>
    <t>Big Hero 6</t>
  </si>
  <si>
    <t>Don Hall</t>
  </si>
  <si>
    <t>Chris Williams</t>
  </si>
  <si>
    <t>About Time</t>
  </si>
  <si>
    <t>Richard Curtis</t>
  </si>
  <si>
    <t>Domhnall Gleeson</t>
  </si>
  <si>
    <t>English Vinglish</t>
  </si>
  <si>
    <t>Gauri Shinde</t>
  </si>
  <si>
    <t>Sridevi</t>
  </si>
  <si>
    <t>Kaze tachinu</t>
  </si>
  <si>
    <t>Toy Story 4</t>
  </si>
  <si>
    <t>Josh Cooley</t>
  </si>
  <si>
    <t>La migliore offerta</t>
  </si>
  <si>
    <t>Geoffrey Rush</t>
  </si>
  <si>
    <t>Moonrise Kingdom</t>
  </si>
  <si>
    <t>Jared Gilman</t>
  </si>
  <si>
    <t>How to Train Your Dragon 2</t>
  </si>
  <si>
    <t>Jay Baruchel</t>
  </si>
  <si>
    <t>The Big Short</t>
  </si>
  <si>
    <t>Adam McKay</t>
  </si>
  <si>
    <t>Kokuhaku</t>
  </si>
  <si>
    <t>Tetsuya Nakashima</t>
  </si>
  <si>
    <t>Takako Matsu</t>
  </si>
  <si>
    <t>Ang-ma-reul bo-at-da</t>
  </si>
  <si>
    <t>Jee-woon Kim</t>
  </si>
  <si>
    <t>Lee Byung-Hun</t>
  </si>
  <si>
    <t>The Girl with the Dragon Tattoo</t>
  </si>
  <si>
    <t>Captain Phillips</t>
  </si>
  <si>
    <t>Ajeossi</t>
  </si>
  <si>
    <t>Jeong-beom Lee</t>
  </si>
  <si>
    <t>Won Bin</t>
  </si>
  <si>
    <t>Straight Outta Compton</t>
  </si>
  <si>
    <t>F. Gary Gray</t>
  </si>
  <si>
    <t>O'Shea Jackson Jr.</t>
  </si>
  <si>
    <t>Madeo</t>
  </si>
  <si>
    <t>Hye-ja Kim</t>
  </si>
  <si>
    <t>Chugyeokja</t>
  </si>
  <si>
    <t>Hong-jin Na</t>
  </si>
  <si>
    <t>Kim Yoon-seok</t>
  </si>
  <si>
    <t>The Hobbit: The Desolation of Smaug</t>
  </si>
  <si>
    <t>Ian McKellen</t>
  </si>
  <si>
    <t>Das weiße Band - Eine deutsche Kindergeschichte</t>
  </si>
  <si>
    <t>Christian Friedel</t>
  </si>
  <si>
    <t>Män som hatar kvinnor</t>
  </si>
  <si>
    <t>Niels Arden Oplev</t>
  </si>
  <si>
    <t>Michael Nyqvist</t>
  </si>
  <si>
    <t>The Trial of the Chicago 7</t>
  </si>
  <si>
    <t>Aaron Sorkin</t>
  </si>
  <si>
    <t>Eddie Redmayne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</si>
  <si>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</si>
  <si>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</si>
  <si>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</si>
  <si>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</si>
  <si>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</si>
  <si>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</si>
  <si>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</si>
  <si>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Asa Butterfield</t>
  </si>
  <si>
    <t>Once</t>
  </si>
  <si>
    <t>Glen Hansard</t>
  </si>
  <si>
    <t>The Hobbit: An Unexpected Journey</t>
  </si>
  <si>
    <t>Martin Freeman</t>
  </si>
  <si>
    <t>Auf der anderen Seite</t>
  </si>
  <si>
    <t>Baki Davrak</t>
  </si>
  <si>
    <t>Atonement</t>
  </si>
  <si>
    <t>Joe Wright</t>
  </si>
  <si>
    <t>Keira Knightley</t>
  </si>
  <si>
    <t>Drive</t>
  </si>
  <si>
    <t>Nicolas Winding Refn</t>
  </si>
  <si>
    <t>American Gangster</t>
  </si>
  <si>
    <t>Denzel Washington</t>
  </si>
  <si>
    <t>Avatar</t>
  </si>
  <si>
    <t>Sam Worthington</t>
  </si>
  <si>
    <t>Mr. Nobody</t>
  </si>
  <si>
    <t>Jaco Van Dormael</t>
  </si>
  <si>
    <t>Jared Leto</t>
  </si>
  <si>
    <t>Apocalypto</t>
  </si>
  <si>
    <t>Gerardo Taracena</t>
  </si>
  <si>
    <t>Little Miss Sunshine</t>
  </si>
  <si>
    <t>Jonathan Dayton</t>
  </si>
  <si>
    <t>Valerie Faris</t>
  </si>
  <si>
    <t>Hot Fuzz</t>
  </si>
  <si>
    <t>The Curious Case of Benjamin Button</t>
  </si>
  <si>
    <t>166 min</t>
  </si>
  <si>
    <t>Veer-Zaara</t>
  </si>
  <si>
    <t>192 min</t>
  </si>
  <si>
    <t>Yash Chopra</t>
  </si>
  <si>
    <t>Adams æbler</t>
  </si>
  <si>
    <t>Anders Thomas Jensen</t>
  </si>
  <si>
    <t>Pride &amp; Prejudice</t>
  </si>
  <si>
    <t>The World's Fastest Indian</t>
  </si>
  <si>
    <t>Roger Donaldson</t>
  </si>
  <si>
    <t>Tôkyô goddofâzâzu</t>
  </si>
  <si>
    <t>Shôgo Furuya</t>
  </si>
  <si>
    <t>Serenity</t>
  </si>
  <si>
    <t>Nathan Fillion</t>
  </si>
  <si>
    <t>Walk the Line</t>
  </si>
  <si>
    <t>Ondskan</t>
  </si>
  <si>
    <t>Mikael Håfström</t>
  </si>
  <si>
    <t>Andreas Wilson</t>
  </si>
  <si>
    <t>The Notebook</t>
  </si>
  <si>
    <t>Nick Cassavetes</t>
  </si>
  <si>
    <t>Gena Rowlands</t>
  </si>
  <si>
    <t>Diarios de motocicleta</t>
  </si>
  <si>
    <t>Gael García Bernal</t>
  </si>
  <si>
    <t>Lilja 4-ever</t>
  </si>
  <si>
    <t>Lukas Moodysson</t>
  </si>
  <si>
    <t>Oksana Akinshina</t>
  </si>
  <si>
    <t>Les triplettes de Belleville</t>
  </si>
  <si>
    <t>Sylvain Chomet</t>
  </si>
  <si>
    <t>Michèle Caucheteux</t>
  </si>
  <si>
    <t>Gongdong gyeongbi guyeok JSA</t>
  </si>
  <si>
    <t>Lee Yeong-ae</t>
  </si>
  <si>
    <t>The Count of Monte Cristo</t>
  </si>
  <si>
    <t>Kevin Reynolds</t>
  </si>
  <si>
    <t>Jim Caviezel</t>
  </si>
  <si>
    <t>Waking Life</t>
  </si>
  <si>
    <t>Remember the Titans</t>
  </si>
  <si>
    <t>Boaz Yakin</t>
  </si>
  <si>
    <t>Wo hu cang long</t>
  </si>
  <si>
    <t>Yun-Fat Chow</t>
  </si>
  <si>
    <t>Todo sobre mi madre</t>
  </si>
  <si>
    <t>Cecilia Roth</t>
  </si>
  <si>
    <t>Cast Away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</si>
  <si>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</si>
  <si>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</si>
  <si>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</si>
  <si>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</si>
  <si>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</si>
  <si>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</si>
  <si>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</si>
  <si>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Vicky Jenson</t>
  </si>
  <si>
    <t>Titanic</t>
  </si>
  <si>
    <t>194 min</t>
  </si>
  <si>
    <t>Hana-bi</t>
  </si>
  <si>
    <t>Takeshi Kitano</t>
  </si>
  <si>
    <t>Gattaca</t>
  </si>
  <si>
    <t>Andrew Niccol</t>
  </si>
  <si>
    <t>The Game</t>
  </si>
  <si>
    <t>Michael Douglas</t>
  </si>
  <si>
    <t>Breaking the Waves</t>
  </si>
  <si>
    <t>Emily Watson</t>
  </si>
  <si>
    <t>Ed Wood</t>
  </si>
  <si>
    <t>What's Eating Gilbert Grape</t>
  </si>
  <si>
    <t>Tombstone</t>
  </si>
  <si>
    <t>George P. Cosmatos</t>
  </si>
  <si>
    <t>Kevin Jarre</t>
  </si>
  <si>
    <t>The Sandlot</t>
  </si>
  <si>
    <t>David Mickey Evans</t>
  </si>
  <si>
    <t>Tom Guiry</t>
  </si>
  <si>
    <t>The Remains of the Day</t>
  </si>
  <si>
    <t>James Ivory</t>
  </si>
  <si>
    <t>Naked</t>
  </si>
  <si>
    <t>David Thewlis</t>
  </si>
  <si>
    <t>The Fugitive</t>
  </si>
  <si>
    <t>Andrew Davis</t>
  </si>
  <si>
    <t>A Bronx Tale</t>
  </si>
  <si>
    <t>Batman: Mask of the Phantasm</t>
  </si>
  <si>
    <t>Kevin Altieri</t>
  </si>
  <si>
    <t>Boyd Kirkland</t>
  </si>
  <si>
    <t>Lat sau san taam</t>
  </si>
  <si>
    <t>John Woo</t>
  </si>
  <si>
    <t>Night on Earth</t>
  </si>
  <si>
    <t>Jim Jarmusch</t>
  </si>
  <si>
    <t>Winona Ryder</t>
  </si>
  <si>
    <t>La double vie de Véronique</t>
  </si>
  <si>
    <t>Boyz n the Hood</t>
  </si>
  <si>
    <t>John Singleton</t>
  </si>
  <si>
    <t>Cuba Gooding Jr.</t>
  </si>
  <si>
    <t>Misery</t>
  </si>
  <si>
    <t>James Caan</t>
  </si>
  <si>
    <t>Awakenings</t>
  </si>
  <si>
    <t>Penny Marshall</t>
  </si>
  <si>
    <t>Majo no takkyûbin</t>
  </si>
  <si>
    <t>Kirsten Dunst</t>
  </si>
  <si>
    <t>Glory</t>
  </si>
  <si>
    <t>Matthew Broderick</t>
  </si>
  <si>
    <t>Dip huet seung hung</t>
  </si>
  <si>
    <t>Back to the Future Part II</t>
  </si>
  <si>
    <t>Mississippi Burning</t>
  </si>
  <si>
    <t>Gene Hackman</t>
  </si>
  <si>
    <t>Predator</t>
  </si>
  <si>
    <t>Evil Dead II</t>
  </si>
  <si>
    <t>Sam Raimi</t>
  </si>
  <si>
    <t>Bruce Campbell</t>
  </si>
  <si>
    <t>Ferris Bueller's Day Off</t>
  </si>
  <si>
    <t>John Hughes</t>
  </si>
  <si>
    <t>Down by Law</t>
  </si>
  <si>
    <t>Tom Waits</t>
  </si>
  <si>
    <t>The Goonies</t>
  </si>
  <si>
    <t>Richard Donner</t>
  </si>
  <si>
    <t>Sean Astin</t>
  </si>
  <si>
    <t>The Color Purple</t>
  </si>
  <si>
    <t>Danny Glover</t>
  </si>
  <si>
    <t>The Breakfast Club</t>
  </si>
  <si>
    <t>Emilio Estevez</t>
  </si>
  <si>
    <t>The Killing Fields</t>
  </si>
  <si>
    <t>Roland Joffé</t>
  </si>
  <si>
    <t>Sam Waterston</t>
  </si>
  <si>
    <t>Ghostbusters</t>
  </si>
  <si>
    <t>Ivan Reitman</t>
  </si>
  <si>
    <t>The Right Stuff</t>
  </si>
  <si>
    <t>193 min</t>
  </si>
  <si>
    <t>Philip Kaufman</t>
  </si>
  <si>
    <t>Sam Shepard</t>
  </si>
  <si>
    <t>The King of Comedy</t>
  </si>
  <si>
    <t>E.T. the Extra-Terrestrial</t>
  </si>
  <si>
    <t>Family,</t>
  </si>
  <si>
    <t>Henry Thomas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</si>
  <si>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</si>
  <si>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</si>
  <si>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</si>
  <si>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</si>
  <si>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</si>
  <si>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</si>
  <si>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Sean Connery</t>
  </si>
  <si>
    <t>The Conversation</t>
  </si>
  <si>
    <t>La planète sauvage</t>
  </si>
  <si>
    <t>René Laloux</t>
  </si>
  <si>
    <t>Barry Bostwick</t>
  </si>
  <si>
    <t>The Day of the Jackal</t>
  </si>
  <si>
    <t>Edward Fox</t>
  </si>
  <si>
    <t>Badlands</t>
  </si>
  <si>
    <t>Cabaret</t>
  </si>
  <si>
    <t>Liza Minnelli</t>
  </si>
  <si>
    <t>Willy Wonka &amp; the Chocolate Factory</t>
  </si>
  <si>
    <t>Mel Stuart</t>
  </si>
  <si>
    <t>Midnight Cowboy</t>
  </si>
  <si>
    <t>John Schlesinger</t>
  </si>
  <si>
    <t>Wait Until Dark</t>
  </si>
  <si>
    <t>Thriller</t>
  </si>
  <si>
    <t>Terence Young</t>
  </si>
  <si>
    <t>Audrey Hepburn</t>
  </si>
  <si>
    <t>Guess Who's Coming to Dinner</t>
  </si>
  <si>
    <t>Bonnie and Clyde</t>
  </si>
  <si>
    <t>Arthur Penn</t>
  </si>
  <si>
    <t>Warren Beatty</t>
  </si>
  <si>
    <t>My Fair Lady</t>
  </si>
  <si>
    <t>Mary Poppins</t>
  </si>
  <si>
    <t>Robert Stevenson</t>
  </si>
  <si>
    <t>The Longest Day</t>
  </si>
  <si>
    <t>Ken Annakin</t>
  </si>
  <si>
    <t>Andrew Marton</t>
  </si>
  <si>
    <t>Jules et Jim</t>
  </si>
  <si>
    <t>Jeanne Moreau</t>
  </si>
  <si>
    <t>The Innocents</t>
  </si>
  <si>
    <t>Jack Clayton</t>
  </si>
  <si>
    <t>Deborah Kerr</t>
  </si>
  <si>
    <t>À bout de souffle</t>
  </si>
  <si>
    <t>Jean-Paul Belmondo</t>
  </si>
  <si>
    <t>Red River</t>
  </si>
  <si>
    <t>Arthur Rosson</t>
  </si>
  <si>
    <t>Key Largo</t>
  </si>
  <si>
    <t>To Have and Have Not</t>
  </si>
  <si>
    <t>Shadow of a Doubt</t>
  </si>
  <si>
    <t>Teresa Wright</t>
  </si>
  <si>
    <t>Stagecoach</t>
  </si>
  <si>
    <t>The Lady Vanishes</t>
  </si>
  <si>
    <t>Margaret Lockwood</t>
  </si>
  <si>
    <t>Bringing Up Baby</t>
  </si>
  <si>
    <t>Katharine Hepburn</t>
  </si>
  <si>
    <t>Bride of Frankenstein</t>
  </si>
  <si>
    <t>James Whale</t>
  </si>
  <si>
    <t>Boris Karloff</t>
  </si>
  <si>
    <t>Duck Soup</t>
  </si>
  <si>
    <t>69 min</t>
  </si>
  <si>
    <t>Leo McCarey</t>
  </si>
  <si>
    <t>Groucho Marx</t>
  </si>
  <si>
    <t>Scarface: The Shame of the Nation</t>
  </si>
  <si>
    <t>Richard Rosson</t>
  </si>
  <si>
    <t>Frankenstein</t>
  </si>
  <si>
    <t>70 min</t>
  </si>
  <si>
    <t>Colin Clive</t>
  </si>
  <si>
    <t>Roma</t>
  </si>
  <si>
    <t>Yalitza Aparicio</t>
  </si>
  <si>
    <t>God's Own Country</t>
  </si>
  <si>
    <t>Francis Lee</t>
  </si>
  <si>
    <t>Josh O'Connor</t>
  </si>
  <si>
    <t>Deadpool 2</t>
  </si>
  <si>
    <t>David Leitch</t>
  </si>
  <si>
    <t>Wind River</t>
  </si>
  <si>
    <t>Taylor Sheridan</t>
  </si>
  <si>
    <t>Kelsey Asbille</t>
  </si>
  <si>
    <t>Get Out</t>
  </si>
  <si>
    <t>Jordan Peele</t>
  </si>
  <si>
    <t>Daniel Kaluuya</t>
  </si>
  <si>
    <t>Mission: Impossible - Fallout</t>
  </si>
  <si>
    <t>Christopher McQuarrie</t>
  </si>
  <si>
    <t>En man som heter Ove</t>
  </si>
  <si>
    <t>Hannes Holm</t>
  </si>
  <si>
    <t>Rolf Lassgård</t>
  </si>
  <si>
    <t>What We Do in the Shadows</t>
  </si>
  <si>
    <t>Jemaine Clement</t>
  </si>
  <si>
    <t>Omoide no Mânî</t>
  </si>
  <si>
    <t>James Simone</t>
  </si>
  <si>
    <t>Hiromasa Yonebayashi</t>
  </si>
  <si>
    <t>The Theory of Everything</t>
  </si>
  <si>
    <t>James Marsh</t>
  </si>
  <si>
    <t>Kingsman: The Secret Service</t>
  </si>
  <si>
    <t>Matthew Vaughn</t>
  </si>
  <si>
    <t>The Fault in Our Stars</t>
  </si>
  <si>
    <t>Josh Boone</t>
  </si>
  <si>
    <t>Shailene Woodley</t>
  </si>
  <si>
    <t>Me and Earl and the Dying Girl</t>
  </si>
  <si>
    <t>Alfonso Gomez-Rejon</t>
  </si>
  <si>
    <t>Thomas Mann</t>
  </si>
  <si>
    <t>Birdman or (The Unexpected Virtue of Ignorance)</t>
  </si>
  <si>
    <t>Michael Keaton</t>
  </si>
  <si>
    <t>La vie d'Adèle</t>
  </si>
  <si>
    <t>Abdellatif Kechiche</t>
  </si>
  <si>
    <t>Léa Seydoux</t>
  </si>
  <si>
    <t>Kai po che!</t>
  </si>
  <si>
    <t>Abhishek Kapoor</t>
  </si>
  <si>
    <t>Amit Sadh</t>
  </si>
  <si>
    <t>The Broken Circle Breakdown</t>
  </si>
  <si>
    <t>Felix van Groeningen</t>
  </si>
  <si>
    <t>Veerle Baetens</t>
  </si>
  <si>
    <t>Captain America: The Winter Soldier</t>
  </si>
  <si>
    <t>Rockstar</t>
  </si>
  <si>
    <t>Nebraska</t>
  </si>
  <si>
    <t>Alexander Payne</t>
  </si>
  <si>
    <t>Bruce Dern</t>
  </si>
  <si>
    <t>Wreck-It Ralph</t>
  </si>
  <si>
    <t>John C. Reilly</t>
  </si>
  <si>
    <t>Le Petit Prince</t>
  </si>
  <si>
    <t>Mark Osborne</t>
  </si>
  <si>
    <t>Jeff Bridges</t>
  </si>
  <si>
    <t>Detachment</t>
  </si>
  <si>
    <t>Midnight in Paris</t>
  </si>
  <si>
    <t>Owen Wilson</t>
  </si>
  <si>
    <t>The Lego Movie</t>
  </si>
  <si>
    <t>Christopher Miller</t>
  </si>
  <si>
    <t>Phil Lord</t>
  </si>
  <si>
    <t>Gravity</t>
  </si>
  <si>
    <t>Sandra Bullock</t>
  </si>
  <si>
    <t>Star Trek Into Darkness</t>
  </si>
  <si>
    <t>Beasts of No Nation</t>
  </si>
  <si>
    <t>Cary Joji Fukunaga</t>
  </si>
  <si>
    <t>Abraham Attah</t>
  </si>
  <si>
    <t>The Social Network</t>
  </si>
  <si>
    <t>Jesse Eisenberg</t>
  </si>
  <si>
    <t>X: First Class</t>
  </si>
  <si>
    <t>James McAvoy</t>
  </si>
  <si>
    <t>The Hangover</t>
  </si>
  <si>
    <t>Zach Galifianakis</t>
  </si>
  <si>
    <t>Skyfall</t>
  </si>
  <si>
    <t>Silver Linings Playbook</t>
  </si>
  <si>
    <t>Bradley Cooper</t>
  </si>
  <si>
    <t>Argo</t>
  </si>
  <si>
    <t>(500) Days of Summer</t>
  </si>
  <si>
    <t>Marc Webb</t>
  </si>
  <si>
    <t>Zooey Deschanel</t>
  </si>
  <si>
    <t>Harry Potter and the Deathly Hallows: Part 1</t>
  </si>
  <si>
    <t>Gake no ue no Ponyo</t>
  </si>
  <si>
    <t>Cate Blanchett</t>
  </si>
  <si>
    <t>Frost/Nixon</t>
  </si>
  <si>
    <t>Frank Langella</t>
  </si>
  <si>
    <t>Papurika</t>
  </si>
  <si>
    <t>Megumi Hayashibara</t>
  </si>
  <si>
    <t>Changeling</t>
  </si>
  <si>
    <t>Angelina Jolie</t>
  </si>
  <si>
    <t>Flipped</t>
  </si>
  <si>
    <t>Madeline Carroll</t>
  </si>
  <si>
    <t>Toki o kakeru shôjo</t>
  </si>
  <si>
    <t>Riisa Naka</t>
  </si>
  <si>
    <t>Death Note: Desu nôto</t>
  </si>
  <si>
    <t>Shûsuke Kaneko</t>
  </si>
  <si>
    <t>Tatsuya Fujiwara</t>
  </si>
  <si>
    <t>This Is England</t>
  </si>
  <si>
    <t>Shane Meadows</t>
  </si>
  <si>
    <t>Thomas Turgoose</t>
  </si>
  <si>
    <t>Ex Machina</t>
  </si>
  <si>
    <t>Alex Garland</t>
  </si>
  <si>
    <t>Alicia Vikander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</si>
  <si>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</si>
  <si>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</si>
  <si>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</si>
  <si>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</si>
  <si>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</si>
  <si>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</si>
  <si>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</si>
  <si>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Josh Hartnett</t>
  </si>
  <si>
    <t>Joyeux Noël</t>
  </si>
  <si>
    <t>Christian Carion</t>
  </si>
  <si>
    <t>Diane Kruger</t>
  </si>
  <si>
    <t>Control</t>
  </si>
  <si>
    <t>Anton Corbijn</t>
  </si>
  <si>
    <t>Sam Riley</t>
  </si>
  <si>
    <t>Tangled</t>
  </si>
  <si>
    <t>Nathan Greno</t>
  </si>
  <si>
    <t>Zwartboek</t>
  </si>
  <si>
    <t>Paul Verhoeven</t>
  </si>
  <si>
    <t>Carice van Houten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</si>
  <si>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</si>
  <si>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</si>
  <si>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</si>
  <si>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</si>
  <si>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</si>
  <si>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</si>
  <si>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</si>
  <si>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</si>
  <si>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</si>
  <si>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</si>
  <si>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</si>
  <si>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</si>
  <si>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</si>
  <si>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</si>
  <si>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</si>
  <si>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</si>
  <si>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Dakota Fanning</t>
  </si>
  <si>
    <t>The Last Samurai</t>
  </si>
  <si>
    <t>The Magdalene Sisters</t>
  </si>
  <si>
    <t>Peter Mullan</t>
  </si>
  <si>
    <t>Eileen Walsh</t>
  </si>
  <si>
    <t>Good Bye Lenin!</t>
  </si>
  <si>
    <t>Wolfgang Becker</t>
  </si>
  <si>
    <t>In America</t>
  </si>
  <si>
    <t>Paddy Considine</t>
  </si>
  <si>
    <t>I Am Sam</t>
  </si>
  <si>
    <t>Jessie Nelson</t>
  </si>
  <si>
    <t>Adaptation.</t>
  </si>
  <si>
    <t>Nicolas Cage</t>
  </si>
  <si>
    <t>Black Hawk Down</t>
  </si>
  <si>
    <t>Road to Perdition</t>
  </si>
  <si>
    <t>Das Experiment</t>
  </si>
  <si>
    <t>Moritz Bleibtreu</t>
  </si>
  <si>
    <t>Billy Elliot</t>
  </si>
  <si>
    <t>Stephen Daldry</t>
  </si>
  <si>
    <t>Jamie Bell</t>
  </si>
  <si>
    <t>Hedwig and the Angry Inch</t>
  </si>
  <si>
    <t>John Cameron Mitchell</t>
  </si>
  <si>
    <t>Ocean's Eleven</t>
  </si>
  <si>
    <t>Steven Soderbergh</t>
  </si>
  <si>
    <t>Vampire Hunter D: Bloodlust</t>
  </si>
  <si>
    <t>Andrew Philpot</t>
  </si>
  <si>
    <t>O Brother, Where Art Thou?</t>
  </si>
  <si>
    <t>Interstate 60: Episodes of the Road</t>
  </si>
  <si>
    <t>Bob Gale</t>
  </si>
  <si>
    <t>James Marsden</t>
  </si>
  <si>
    <t>South Park: Bigger, Longer &amp; Uncut</t>
  </si>
  <si>
    <t>Trey Parker</t>
  </si>
  <si>
    <t>Office Space</t>
  </si>
  <si>
    <t>Mike Judge</t>
  </si>
  <si>
    <t>Ron Livingston</t>
  </si>
  <si>
    <t>Happiness</t>
  </si>
  <si>
    <t>Todd Solondz</t>
  </si>
  <si>
    <t>Jane Adams</t>
  </si>
  <si>
    <t>Training Day</t>
  </si>
  <si>
    <t>Antoine Fuqua</t>
  </si>
  <si>
    <t>Rushmore</t>
  </si>
  <si>
    <t>Jason Schwartzman</t>
  </si>
  <si>
    <t>Abre los ojos</t>
  </si>
  <si>
    <t>Eduardo Noriega</t>
  </si>
  <si>
    <t>Being John Malkovich</t>
  </si>
  <si>
    <t>John Cusack</t>
  </si>
  <si>
    <t>As Good as It Gets</t>
  </si>
  <si>
    <t>James L. Brooks</t>
  </si>
  <si>
    <t>The Fifth Element</t>
  </si>
  <si>
    <t>Le dîner de cons</t>
  </si>
  <si>
    <t>Francis Veber</t>
  </si>
  <si>
    <t>Thierry Lhermitte</t>
  </si>
  <si>
    <t>Donnie Brasco</t>
  </si>
  <si>
    <t>Shine</t>
  </si>
  <si>
    <t>Scott Hicks</t>
  </si>
  <si>
    <t>Primal Fear</t>
  </si>
  <si>
    <t>Gregory Hoblit</t>
  </si>
  <si>
    <t>Hamlet</t>
  </si>
  <si>
    <t>242 min</t>
  </si>
  <si>
    <t>Kenneth Branagh</t>
  </si>
  <si>
    <t>A Little Princess</t>
  </si>
  <si>
    <t>Liesel Matthews</t>
  </si>
  <si>
    <t>Do lok tin si</t>
  </si>
  <si>
    <t>Leon Lai</t>
  </si>
  <si>
    <t>Il postino</t>
  </si>
  <si>
    <t>Michael Radford</t>
  </si>
  <si>
    <t>Massimo Troisi</t>
  </si>
  <si>
    <t>Clerks</t>
  </si>
  <si>
    <t>Kevin Smith</t>
  </si>
  <si>
    <t>Brian O'Halloran</t>
  </si>
  <si>
    <t>Short Cuts</t>
  </si>
  <si>
    <t>Robert Altman</t>
  </si>
  <si>
    <t>Andie MacDowell</t>
  </si>
  <si>
    <t>Philadelphia</t>
  </si>
  <si>
    <t>The Muppet Christmas Carol</t>
  </si>
  <si>
    <t>Brian Henson</t>
  </si>
  <si>
    <t>Michael Caine</t>
  </si>
  <si>
    <t>Malcolm X</t>
  </si>
  <si>
    <t>The Last of the Mohicans</t>
  </si>
  <si>
    <t>Kurenai no buta</t>
  </si>
  <si>
    <t>Shûichirô Moriyama</t>
  </si>
  <si>
    <t>Glengarry Glen Ross</t>
  </si>
  <si>
    <t>James Foley</t>
  </si>
  <si>
    <t>A Few Good Men</t>
  </si>
  <si>
    <t>Fried Green Tomatoes</t>
  </si>
  <si>
    <t>Jon Avnet</t>
  </si>
  <si>
    <t>Kathy Bates</t>
  </si>
  <si>
    <t>Barton Fink</t>
  </si>
  <si>
    <t>Miller's Crossing</t>
  </si>
  <si>
    <t>Who Framed Roger Rabbit</t>
  </si>
  <si>
    <t>Bob Hoskins</t>
  </si>
  <si>
    <t>Spoorloos</t>
  </si>
  <si>
    <t>George Sluizer</t>
  </si>
  <si>
    <t>Bernard-Pierre Donnadieu</t>
  </si>
  <si>
    <t>Withnail &amp; I</t>
  </si>
  <si>
    <t>Bruce Robinson</t>
  </si>
  <si>
    <t>Richard E. Grant</t>
  </si>
  <si>
    <t>The Last Emperor</t>
  </si>
  <si>
    <t>John Lone</t>
  </si>
  <si>
    <t>Empire of the Sun</t>
  </si>
  <si>
    <t>Der Name der Rose</t>
  </si>
  <si>
    <t>Jean-Jacques Annaud</t>
  </si>
  <si>
    <t>Blue Velvet</t>
  </si>
  <si>
    <t>Isabella Rossellini</t>
  </si>
  <si>
    <t>The Purple Rose of Cairo</t>
  </si>
  <si>
    <t>After Hours</t>
  </si>
  <si>
    <t>Griffin Dunne</t>
  </si>
  <si>
    <t>Zelig</t>
  </si>
  <si>
    <t>79 min</t>
  </si>
  <si>
    <t>The Verdict</t>
  </si>
  <si>
    <t>Star Trek II: The Wrath of Khan</t>
  </si>
  <si>
    <t>Nicholas Meyer</t>
  </si>
  <si>
    <t>William Shatner</t>
  </si>
  <si>
    <t>First Blood</t>
  </si>
  <si>
    <t>Ted Kotcheff</t>
  </si>
  <si>
    <t>Ordinary People</t>
  </si>
  <si>
    <t>Robert Redford</t>
  </si>
  <si>
    <t>Donald Sutherland</t>
  </si>
  <si>
    <t>Airplane!</t>
  </si>
  <si>
    <t>Jim Abrahams</t>
  </si>
  <si>
    <t>David Zucker</t>
  </si>
  <si>
    <t>Rupan sansei: Kariosutoro no shiro</t>
  </si>
  <si>
    <t>Yasuo Yamada</t>
  </si>
  <si>
    <t>Halloween</t>
  </si>
  <si>
    <t>Donald Pleasence</t>
  </si>
  <si>
    <t>Le locataire</t>
  </si>
  <si>
    <t>Love and Death</t>
  </si>
  <si>
    <t>The Taking of Pelham One Two Three</t>
  </si>
  <si>
    <t>Joseph Sargent</t>
  </si>
  <si>
    <t>Walter Matthau</t>
  </si>
  <si>
    <t>Blazing Saddles</t>
  </si>
  <si>
    <t>Cleavon Little</t>
  </si>
  <si>
    <t>Serpico</t>
  </si>
  <si>
    <t>Enter the Dragon</t>
  </si>
  <si>
    <t>Robert Clouse</t>
  </si>
  <si>
    <t>Bruce Lee</t>
  </si>
  <si>
    <t>Deliverance</t>
  </si>
  <si>
    <t>John Boorman</t>
  </si>
  <si>
    <t>Jon Voight</t>
  </si>
  <si>
    <t>The French Connection</t>
  </si>
  <si>
    <t>Dirty Harry</t>
  </si>
  <si>
    <t>Don Siegel</t>
  </si>
  <si>
    <t>Where Eagles Dare</t>
  </si>
  <si>
    <t>Brian G. Hutton</t>
  </si>
  <si>
    <t>Richard Burton</t>
  </si>
  <si>
    <t>The Odd Couple</t>
  </si>
  <si>
    <t>Gene Saks</t>
  </si>
  <si>
    <t>The Dirty Dozen</t>
  </si>
  <si>
    <t>Lee Marvin</t>
  </si>
  <si>
    <t>Belle de jour</t>
  </si>
  <si>
    <t>Catherine Deneuve</t>
  </si>
  <si>
    <t>A Man for All Seasons</t>
  </si>
  <si>
    <t>Paul Scofield</t>
  </si>
  <si>
    <t>Repulsion</t>
  </si>
  <si>
    <t>Zulu</t>
  </si>
  <si>
    <t>Cy Endfield</t>
  </si>
  <si>
    <t>Stanley Baker</t>
  </si>
  <si>
    <t>Goldfinger</t>
  </si>
  <si>
    <t>Guy Hamilton</t>
  </si>
  <si>
    <t>The Birds</t>
  </si>
  <si>
    <t>Rod Taylor</t>
  </si>
  <si>
    <t>Cape Fear</t>
  </si>
  <si>
    <t>J. Lee Thompson</t>
  </si>
  <si>
    <t>Peeping Tom</t>
  </si>
  <si>
    <t>Karlheinz Böhm</t>
  </si>
  <si>
    <t>The Magnificent Seven</t>
  </si>
  <si>
    <t>Yul Brynner</t>
  </si>
  <si>
    <t>Les yeux sans visage</t>
  </si>
  <si>
    <t>Georges Franju</t>
  </si>
  <si>
    <t>Pierre Brasseur</t>
  </si>
  <si>
    <t>Invasion of the Body Snatchers</t>
  </si>
  <si>
    <t>Kevin McCarthy</t>
  </si>
  <si>
    <t>Rebel Without a Cause</t>
  </si>
  <si>
    <t>The Ladykillers</t>
  </si>
  <si>
    <t>Alec Guinness</t>
  </si>
  <si>
    <t>Sabrina</t>
  </si>
  <si>
    <t>The Quiet Man</t>
  </si>
  <si>
    <t>The Day the Earth Stood Still</t>
  </si>
  <si>
    <t>Michael Rennie</t>
  </si>
  <si>
    <t>The African Queen</t>
  </si>
  <si>
    <t>Gilda</t>
  </si>
  <si>
    <t>Charles Vidor</t>
  </si>
  <si>
    <t>Rita Hayworth</t>
  </si>
  <si>
    <t>Fantasia</t>
  </si>
  <si>
    <t>James Algar</t>
  </si>
  <si>
    <t>Samuel Armstrong</t>
  </si>
  <si>
    <t>The Invisible Man</t>
  </si>
  <si>
    <t>71 min</t>
  </si>
  <si>
    <t>Claude Rains</t>
  </si>
  <si>
    <t>Dark Waters</t>
  </si>
  <si>
    <t>Todd Haynes</t>
  </si>
  <si>
    <t>Searching</t>
  </si>
  <si>
    <t>Aneesh Chaganty</t>
  </si>
  <si>
    <t>John Cho</t>
  </si>
  <si>
    <t>Once Upon a Time... in Hollywood</t>
  </si>
  <si>
    <t>Nelyubov</t>
  </si>
  <si>
    <t>Maryana Spivak</t>
  </si>
  <si>
    <t>The Florida Project</t>
  </si>
  <si>
    <t>Sean Baker</t>
  </si>
  <si>
    <t>Brooklynn Prince</t>
  </si>
  <si>
    <t>Just Mercy</t>
  </si>
  <si>
    <t>Michael B. Jordan</t>
  </si>
  <si>
    <t>Gifted</t>
  </si>
  <si>
    <t>Chris Evans</t>
  </si>
  <si>
    <t>The Peanut Butter Falcon</t>
  </si>
  <si>
    <t>Tyler Nilson</t>
  </si>
  <si>
    <t>Michael Schwartz</t>
  </si>
  <si>
    <t>Victoria</t>
  </si>
  <si>
    <t>Sebastian Schipper</t>
  </si>
  <si>
    <t>Laia Costa</t>
  </si>
  <si>
    <t>Mustang</t>
  </si>
  <si>
    <t>Deniz Gamze Ergüven</t>
  </si>
  <si>
    <t>Günes Sensoy</t>
  </si>
  <si>
    <t>Guardians of the Galaxy Vol. 2</t>
  </si>
  <si>
    <t>Baby Driver</t>
  </si>
  <si>
    <t>Ansel Elgort</t>
  </si>
  <si>
    <t>Only the Brave</t>
  </si>
  <si>
    <t>Joseph Kosinski</t>
  </si>
  <si>
    <t>Josh Brolin</t>
  </si>
  <si>
    <t>Bridge of Spies</t>
  </si>
  <si>
    <t>Incredibles 2</t>
  </si>
  <si>
    <t>Moana</t>
  </si>
  <si>
    <t>Sicario</t>
  </si>
  <si>
    <t>Emily Blunt</t>
  </si>
  <si>
    <t>Creed</t>
  </si>
  <si>
    <t>Ryan Coogler</t>
  </si>
  <si>
    <t>Leviafan</t>
  </si>
  <si>
    <t>Aleksey Serebryakov</t>
  </si>
  <si>
    <t>Hell or High Water</t>
  </si>
  <si>
    <t>David Mackenzie</t>
  </si>
  <si>
    <t>Philomena</t>
  </si>
  <si>
    <t>Stephen Frears</t>
  </si>
  <si>
    <t>Judi Dench</t>
  </si>
  <si>
    <t>Dawn of the Planet of the Apes</t>
  </si>
  <si>
    <t>Matt Reeves</t>
  </si>
  <si>
    <t>Gary Oldman</t>
  </si>
  <si>
    <t>El cuerpo</t>
  </si>
  <si>
    <t>Jose Coronado</t>
  </si>
  <si>
    <t>Serbuan maut</t>
  </si>
  <si>
    <t>End of Watch</t>
  </si>
  <si>
    <t>David Ayer</t>
  </si>
  <si>
    <t>Kari-gurashi no Arietti</t>
  </si>
  <si>
    <t>Amy Poehler</t>
  </si>
  <si>
    <t>A Star Is Born</t>
  </si>
  <si>
    <t>Lady Gaga</t>
  </si>
  <si>
    <t>True Grit</t>
  </si>
  <si>
    <t>Hævnen</t>
  </si>
  <si>
    <t>Mikael Persbrandt</t>
  </si>
  <si>
    <t>Despicable Me</t>
  </si>
  <si>
    <t>Pierre Coffin</t>
  </si>
  <si>
    <t>Chris Renaud</t>
  </si>
  <si>
    <t>50/50</t>
  </si>
  <si>
    <t>Jonathan Levine</t>
  </si>
  <si>
    <t>Joseph Gordon-Levitt</t>
  </si>
  <si>
    <t>Kick-Ass</t>
  </si>
  <si>
    <t>Aaron Taylor-Johnson</t>
  </si>
  <si>
    <t>Celda 211</t>
  </si>
  <si>
    <t>Daniel Monzón</t>
  </si>
  <si>
    <t>Luis Tosar</t>
  </si>
  <si>
    <t>Moneyball</t>
  </si>
  <si>
    <t>Bennett Miller</t>
  </si>
  <si>
    <t>La piel que habito</t>
  </si>
  <si>
    <t>Antonio Banderas</t>
  </si>
  <si>
    <t>Zombieland</t>
  </si>
  <si>
    <t>Ruben Fleischer</t>
  </si>
  <si>
    <t>Die Welle</t>
  </si>
  <si>
    <t>Dennis Gansel</t>
  </si>
  <si>
    <t>Jürgen Vogel</t>
  </si>
  <si>
    <t>Sherlock Holmes</t>
  </si>
  <si>
    <t>The Blind Side</t>
  </si>
  <si>
    <t>John Lee Hancock</t>
  </si>
  <si>
    <t>Quinton Aaron</t>
  </si>
  <si>
    <t>The Visitor</t>
  </si>
  <si>
    <t>Richard Jenkins</t>
  </si>
  <si>
    <t>Seven Pounds</t>
  </si>
  <si>
    <t>Eastern Promises</t>
  </si>
  <si>
    <t>David Cronenberg</t>
  </si>
  <si>
    <t>Stardust</t>
  </si>
  <si>
    <t>Charlie Cox</t>
  </si>
  <si>
    <t>The Secret of Kells</t>
  </si>
  <si>
    <t>Nora Twomey</t>
  </si>
  <si>
    <t>Inside Man</t>
  </si>
  <si>
    <t>Gone Baby Gone</t>
  </si>
  <si>
    <t>La Vie En Rose</t>
  </si>
  <si>
    <t>Olivier Dahan</t>
  </si>
  <si>
    <t>Marion Cotillard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</si>
  <si>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</si>
  <si>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</si>
  <si>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</si>
  <si>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</si>
  <si>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</si>
  <si>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</si>
  <si>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Zack Snyder</t>
  </si>
  <si>
    <t>Gerard Butler</t>
  </si>
  <si>
    <t>Match Point</t>
  </si>
  <si>
    <t>Scarlett Johansson</t>
  </si>
  <si>
    <t>Watchmen</t>
  </si>
  <si>
    <t>Jackie Earle Haley</t>
  </si>
  <si>
    <t>Lord of War</t>
  </si>
  <si>
    <t>Saw</t>
  </si>
  <si>
    <t>James Wan</t>
  </si>
  <si>
    <t>Synecdoche, New York</t>
  </si>
  <si>
    <t>Charlie Kaufman</t>
  </si>
  <si>
    <t>Philip Seymour Hoffman</t>
  </si>
  <si>
    <t>Mysterious Skin</t>
  </si>
  <si>
    <t>Gregg Araki</t>
  </si>
  <si>
    <t>Brady Corbet</t>
  </si>
  <si>
    <t>Jeux d'enfants</t>
  </si>
  <si>
    <t>Yann Samuell</t>
  </si>
  <si>
    <t>Guillaume Canet</t>
  </si>
  <si>
    <t>Un long dimanche de fiançailles</t>
  </si>
  <si>
    <t>The Station Agent</t>
  </si>
  <si>
    <t>Peter Dinklage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</si>
  <si>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</si>
  <si>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</si>
  <si>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</si>
  <si>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</si>
  <si>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</si>
  <si>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</si>
  <si>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</si>
  <si>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J. Mackye Gruber</t>
  </si>
  <si>
    <t>28 Days Later...</t>
  </si>
  <si>
    <t>Cillian Murphy</t>
  </si>
  <si>
    <t>Batoru rowaiaru</t>
  </si>
  <si>
    <t>Kinji Fukasaku</t>
  </si>
  <si>
    <t>The Royal Tenenbaums</t>
  </si>
  <si>
    <t>Y tu mamá también</t>
  </si>
  <si>
    <t>Maribel Verdú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</si>
  <si>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</si>
  <si>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</si>
  <si>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</si>
  <si>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</si>
  <si>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</si>
  <si>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</si>
  <si>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Jude Law</t>
  </si>
  <si>
    <t>Minority Report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</si>
  <si>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</si>
  <si>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</si>
  <si>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</si>
  <si>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</si>
  <si>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</si>
  <si>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</si>
  <si>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</si>
  <si>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</si>
  <si>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Barry Cook</t>
  </si>
  <si>
    <t>Fear and Loathing in Las Vegas</t>
  </si>
  <si>
    <t>Funny Games</t>
  </si>
  <si>
    <t>Susanne Lothar</t>
  </si>
  <si>
    <t>Dark City</t>
  </si>
  <si>
    <t>Alex Proyas</t>
  </si>
  <si>
    <t>Rufus Sewell</t>
  </si>
  <si>
    <t>Sleepers</t>
  </si>
  <si>
    <t>Lost Highway</t>
  </si>
  <si>
    <t>Bill Pullman</t>
  </si>
  <si>
    <t>Sense and Sensibility</t>
  </si>
  <si>
    <t>Emma Thompson</t>
  </si>
  <si>
    <t>Die Hard: With a Vengeance</t>
  </si>
  <si>
    <t>Dead Man</t>
  </si>
  <si>
    <t>The Bridges of Madison County</t>
  </si>
  <si>
    <t>Apollo 13</t>
  </si>
  <si>
    <t>PG</t>
  </si>
  <si>
    <t>Trois couleurs: Blanc</t>
  </si>
  <si>
    <t>Zbigniew Zamachowski</t>
  </si>
  <si>
    <t>Falling Down</t>
  </si>
  <si>
    <t>Joel Schumacher</t>
  </si>
  <si>
    <t>Dazed and Confused</t>
  </si>
  <si>
    <t>Jason London</t>
  </si>
  <si>
    <t>My Cousin Vinny</t>
  </si>
  <si>
    <t>Jonathan Lynn</t>
  </si>
  <si>
    <t>Joe Pesci</t>
  </si>
  <si>
    <t>Omohide poro poro</t>
  </si>
  <si>
    <t>Miki Imai</t>
  </si>
  <si>
    <t>Delicatessen</t>
  </si>
  <si>
    <t>Marc Caro</t>
  </si>
  <si>
    <t>Home Alone</t>
  </si>
  <si>
    <t>Macaulay Culkin</t>
  </si>
  <si>
    <t>The Godfather: Part III</t>
  </si>
  <si>
    <t>When Harry Met Sally...</t>
  </si>
  <si>
    <t>Billy Crystal</t>
  </si>
  <si>
    <t>The Little Mermaid</t>
  </si>
  <si>
    <t>The Naked Gun: From the Files of Police Squad!</t>
  </si>
  <si>
    <t>Leslie Nielsen</t>
  </si>
  <si>
    <t>Planes, Trains &amp; Automobiles</t>
  </si>
  <si>
    <t>Steve Martin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</si>
  <si>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</si>
  <si>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</si>
  <si>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</si>
  <si>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</si>
  <si>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</si>
  <si>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</si>
  <si>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</si>
  <si>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Michael Beck</t>
  </si>
  <si>
    <t>The Muppet Movie</t>
  </si>
  <si>
    <t>James Frawley</t>
  </si>
  <si>
    <t>Jim Henson</t>
  </si>
  <si>
    <t>Escape from Alcatraz</t>
  </si>
  <si>
    <t>Watership Down</t>
  </si>
  <si>
    <t>Martin Rosen</t>
  </si>
  <si>
    <t>John Hubley</t>
  </si>
  <si>
    <t>Midnight Express</t>
  </si>
  <si>
    <t>Brad Davis</t>
  </si>
  <si>
    <t>Close Encounters of the Third Kind</t>
  </si>
  <si>
    <t>Richard Dreyfuss</t>
  </si>
  <si>
    <t>The Long Goodbye</t>
  </si>
  <si>
    <t>Elliott Gould</t>
  </si>
  <si>
    <t>Giù la testa</t>
  </si>
  <si>
    <t>Rod Steiger</t>
  </si>
  <si>
    <t>Kelly's Heroes</t>
  </si>
  <si>
    <t>The Jungle Book</t>
  </si>
  <si>
    <t>78 min</t>
  </si>
  <si>
    <t>Wolfgang Reitherman</t>
  </si>
  <si>
    <t>Phil Harris</t>
  </si>
  <si>
    <t>Blowup</t>
  </si>
  <si>
    <t>David Hemmings</t>
  </si>
  <si>
    <t>A Hard Day's Night</t>
  </si>
  <si>
    <t>Richard Lester</t>
  </si>
  <si>
    <t>John Lennon</t>
  </si>
  <si>
    <t>Breakfast at Tiffany's</t>
  </si>
  <si>
    <t>Blake Edwards</t>
  </si>
  <si>
    <t>Giant</t>
  </si>
  <si>
    <t>George Stevens</t>
  </si>
  <si>
    <t>From Here to Eternity</t>
  </si>
  <si>
    <t>Lifeboat</t>
  </si>
  <si>
    <t>Tallulah Bankhead</t>
  </si>
  <si>
    <t>The 39 Steps</t>
  </si>
  <si>
    <t>Robert Donat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</si>
</sst>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rgb="FF000000"/>
      <name val="Helvetica"/>
      <charset val="1"/>
    </font>
    <font>
      <sz val="11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IMDB Ratings (Frequency of Movies)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IMDB Ratings (Frequency of Movies)</a:t>
          </a:r>
        </a:p>
      </cx:txPr>
    </cx:title>
    <cx:plotArea>
      <cx:plotAreaRegion>
        <cx:series layoutId="clusteredColumn" uniqueId="{E04B41C9-D54B-41A1-A5A5-F624F1F6134A}">
          <cx:tx>
            <cx:txData>
              <cx:f>_xlchart.v1.1</cx:f>
              <cx:v>IMDB_Rating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30000001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8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Meta Ratings (Frequency of Movies)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Meta Ratings (Frequency of Movies)</a:t>
          </a:r>
        </a:p>
      </cx:txPr>
    </cx:title>
    <cx:plotArea>
      <cx:plotAreaRegion>
        <cx:series layoutId="clusteredColumn" uniqueId="{E04B41C9-D54B-41A1-A5A5-F624F1F6134A}">
          <cx:tx>
            <cx:txData>
              <cx:f>_xlchart.v1.4</cx:f>
              <cx:v>Meta_score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30000001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8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266700</xdr:colOff>
      <xdr:row>0</xdr:row>
      <xdr:rowOff>19050</xdr:rowOff>
    </xdr:from>
    <xdr:to>
      <xdr:col>25</xdr:col>
      <xdr:colOff>180975</xdr:colOff>
      <xdr:row>10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9B9BAD9-B80E-A5A7-848C-AB4AD60F2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161925</xdr:colOff>
      <xdr:row>11</xdr:row>
      <xdr:rowOff>66675</xdr:rowOff>
    </xdr:from>
    <xdr:to>
      <xdr:col>25</xdr:col>
      <xdr:colOff>76200</xdr:colOff>
      <xdr:row>19</xdr:row>
      <xdr:rowOff>200025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6">
              <a:extLst>
                <a:ext uri="{FF2B5EF4-FFF2-40B4-BE49-F238E27FC236}">
                  <a16:creationId xmlns:a16="http://schemas.microsoft.com/office/drawing/2014/main" id="{0E37FCFF-B788-4B8B-842E-B6BD95A00CAF}"/>
                </a:ext>
                <a:ext uri="{147F2762-F138-4A5C-976F-8EAC2B608ADB}">
                  <a16:predDERef xmlns:a16="http://schemas.microsoft.com/office/drawing/2014/main" pred="{A9B9BAD9-B80E-A5A7-848C-AB4AD60F2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E1" workbookViewId="0">
      <selection activeCell="H1" sqref="H1:H1001"/>
    </sheetView>
  </sheetViews>
  <sheetFormatPr defaultRowHeight="15"/>
  <cols>
    <col min="2" max="2" width="12" bestFit="1" customWidth="1"/>
    <col min="3" max="3" width="15" bestFit="1" customWidth="1"/>
    <col min="4" max="4" width="8.7109375" bestFit="1" customWidth="1"/>
    <col min="13" max="13" width="22.28515625" bestFit="1" customWidth="1"/>
    <col min="14" max="14" width="23.85546875" bestFit="1" customWidth="1"/>
    <col min="15" max="15" width="21.85546875" bestFit="1" customWidth="1"/>
  </cols>
  <sheetData>
    <row r="1" spans="1:15" ht="23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7" t="s">
        <v>13</v>
      </c>
      <c r="O1" s="7" t="s">
        <v>14</v>
      </c>
    </row>
    <row r="2" spans="1:15" ht="23.25">
      <c r="A2">
        <v>1</v>
      </c>
      <c r="B2" s="2" t="s">
        <v>15</v>
      </c>
      <c r="C2" s="2">
        <v>1994</v>
      </c>
      <c r="D2" s="2" t="s">
        <v>16</v>
      </c>
      <c r="E2" s="2" t="s">
        <v>17</v>
      </c>
      <c r="F2" s="2">
        <v>9.3000000000000007</v>
      </c>
      <c r="G2" s="2">
        <v>80</v>
      </c>
      <c r="H2" s="2" t="s">
        <v>18</v>
      </c>
      <c r="I2" s="2" t="s">
        <v>19</v>
      </c>
      <c r="J2" s="2">
        <v>2343110</v>
      </c>
      <c r="K2" s="3">
        <v>28341469</v>
      </c>
      <c r="L2">
        <f>IF(AND(F2&gt;=8.2, G2&gt;8.2), 1, 0)</f>
        <v>1</v>
      </c>
      <c r="M2">
        <f>SUM(L2:L1001)</f>
        <v>195</v>
      </c>
      <c r="N2">
        <f>IF(K2&gt;=50000000, 1, 0)</f>
        <v>0</v>
      </c>
      <c r="O2">
        <f>SUM(N2:N1001)</f>
        <v>467</v>
      </c>
    </row>
    <row r="3" spans="1:15" ht="23.25">
      <c r="A3">
        <v>2</v>
      </c>
      <c r="B3" s="2" t="s">
        <v>20</v>
      </c>
      <c r="C3" s="2">
        <v>1972</v>
      </c>
      <c r="D3" s="2" t="s">
        <v>21</v>
      </c>
      <c r="E3" s="2" t="s">
        <v>22</v>
      </c>
      <c r="F3" s="2">
        <v>9.1999999999999993</v>
      </c>
      <c r="G3" s="2">
        <v>100</v>
      </c>
      <c r="H3" s="2" t="s">
        <v>23</v>
      </c>
      <c r="I3" s="2" t="s">
        <v>24</v>
      </c>
      <c r="J3" s="2">
        <v>1620367</v>
      </c>
      <c r="K3" s="3">
        <v>134966411</v>
      </c>
      <c r="L3">
        <f t="shared" ref="L3:L66" si="0">IF(AND(F3&gt;=8.2, G3&gt;8.2), 1, 0)</f>
        <v>1</v>
      </c>
      <c r="N3">
        <f t="shared" ref="N3:N66" si="1">IF(K3&gt;=50000000, 1, 0)</f>
        <v>1</v>
      </c>
    </row>
    <row r="4" spans="1:15" ht="23.25">
      <c r="A4">
        <v>3</v>
      </c>
      <c r="B4" s="2" t="s">
        <v>25</v>
      </c>
      <c r="C4" s="2">
        <v>2008</v>
      </c>
      <c r="D4" s="2" t="s">
        <v>26</v>
      </c>
      <c r="E4" s="2" t="s">
        <v>27</v>
      </c>
      <c r="F4" s="2">
        <v>9</v>
      </c>
      <c r="G4" s="2">
        <v>84</v>
      </c>
      <c r="H4" s="2" t="s">
        <v>28</v>
      </c>
      <c r="I4" s="2" t="s">
        <v>29</v>
      </c>
      <c r="J4" s="2">
        <v>2303232</v>
      </c>
      <c r="K4" s="3">
        <v>534858444</v>
      </c>
      <c r="L4">
        <f t="shared" si="0"/>
        <v>1</v>
      </c>
      <c r="N4">
        <f t="shared" si="1"/>
        <v>1</v>
      </c>
    </row>
    <row r="5" spans="1:15" ht="23.25">
      <c r="A5">
        <v>4</v>
      </c>
      <c r="B5" s="2" t="s">
        <v>30</v>
      </c>
      <c r="C5" s="2">
        <v>1974</v>
      </c>
      <c r="D5" s="2" t="s">
        <v>31</v>
      </c>
      <c r="E5" s="2" t="s">
        <v>22</v>
      </c>
      <c r="F5" s="2">
        <v>9</v>
      </c>
      <c r="G5" s="2">
        <v>90</v>
      </c>
      <c r="H5" s="2" t="s">
        <v>23</v>
      </c>
      <c r="I5" s="2" t="s">
        <v>32</v>
      </c>
      <c r="J5" s="2">
        <v>1129952</v>
      </c>
      <c r="K5" s="3">
        <v>57300000</v>
      </c>
      <c r="L5">
        <f t="shared" si="0"/>
        <v>1</v>
      </c>
      <c r="N5">
        <f t="shared" si="1"/>
        <v>1</v>
      </c>
    </row>
    <row r="6" spans="1:15" ht="23.25">
      <c r="A6">
        <v>5</v>
      </c>
      <c r="B6" s="2" t="s">
        <v>33</v>
      </c>
      <c r="C6" s="2">
        <v>1957</v>
      </c>
      <c r="D6" s="2" t="s">
        <v>34</v>
      </c>
      <c r="E6" s="2" t="s">
        <v>22</v>
      </c>
      <c r="F6" s="2">
        <v>9</v>
      </c>
      <c r="G6" s="2">
        <v>96</v>
      </c>
      <c r="H6" s="2" t="s">
        <v>35</v>
      </c>
      <c r="I6" s="2" t="s">
        <v>36</v>
      </c>
      <c r="J6" s="2">
        <v>689845</v>
      </c>
      <c r="K6" s="3">
        <v>4360000</v>
      </c>
      <c r="L6">
        <f t="shared" si="0"/>
        <v>1</v>
      </c>
      <c r="N6">
        <f t="shared" si="1"/>
        <v>0</v>
      </c>
    </row>
    <row r="7" spans="1:15" ht="47.25">
      <c r="A7">
        <v>6</v>
      </c>
      <c r="B7" s="2" t="s">
        <v>37</v>
      </c>
      <c r="C7" s="2">
        <v>2003</v>
      </c>
      <c r="D7" s="2" t="s">
        <v>38</v>
      </c>
      <c r="E7" s="2" t="s">
        <v>27</v>
      </c>
      <c r="F7" s="2">
        <v>8.9</v>
      </c>
      <c r="G7" s="2">
        <v>94</v>
      </c>
      <c r="H7" s="2" t="s">
        <v>39</v>
      </c>
      <c r="I7" s="2" t="s">
        <v>40</v>
      </c>
      <c r="J7" s="2">
        <v>1642758</v>
      </c>
      <c r="K7" s="3">
        <v>377845905</v>
      </c>
      <c r="L7">
        <f t="shared" si="0"/>
        <v>1</v>
      </c>
      <c r="N7">
        <f t="shared" si="1"/>
        <v>1</v>
      </c>
    </row>
    <row r="8" spans="1:15" ht="23.25">
      <c r="A8">
        <v>7</v>
      </c>
      <c r="B8" s="2" t="s">
        <v>41</v>
      </c>
      <c r="C8" s="2">
        <v>1994</v>
      </c>
      <c r="D8" s="2" t="s">
        <v>42</v>
      </c>
      <c r="E8" s="2" t="s">
        <v>22</v>
      </c>
      <c r="F8" s="2">
        <v>8.9</v>
      </c>
      <c r="G8" s="2">
        <v>94</v>
      </c>
      <c r="H8" s="2" t="s">
        <v>43</v>
      </c>
      <c r="I8" s="2" t="s">
        <v>44</v>
      </c>
      <c r="J8" s="2">
        <v>1826188</v>
      </c>
      <c r="K8" s="3">
        <v>107928762</v>
      </c>
      <c r="L8">
        <f t="shared" si="0"/>
        <v>1</v>
      </c>
      <c r="N8">
        <f t="shared" si="1"/>
        <v>1</v>
      </c>
    </row>
    <row r="9" spans="1:15" ht="23.25">
      <c r="A9">
        <v>8</v>
      </c>
      <c r="B9" s="2" t="s">
        <v>45</v>
      </c>
      <c r="C9" s="2">
        <v>1993</v>
      </c>
      <c r="D9" s="2" t="s">
        <v>46</v>
      </c>
      <c r="E9" s="2" t="s">
        <v>47</v>
      </c>
      <c r="F9" s="2">
        <v>8.9</v>
      </c>
      <c r="G9" s="2">
        <v>94</v>
      </c>
      <c r="H9" s="2" t="s">
        <v>48</v>
      </c>
      <c r="I9" s="2" t="s">
        <v>49</v>
      </c>
      <c r="J9" s="2">
        <v>1213505</v>
      </c>
      <c r="K9" s="3">
        <v>96898818</v>
      </c>
      <c r="L9">
        <f t="shared" si="0"/>
        <v>1</v>
      </c>
      <c r="N9">
        <f t="shared" si="1"/>
        <v>1</v>
      </c>
    </row>
    <row r="10" spans="1:15" ht="23.25">
      <c r="A10">
        <v>9</v>
      </c>
      <c r="B10" s="2" t="s">
        <v>50</v>
      </c>
      <c r="C10" s="2">
        <v>2010</v>
      </c>
      <c r="D10" s="2" t="s">
        <v>51</v>
      </c>
      <c r="E10" s="2" t="s">
        <v>27</v>
      </c>
      <c r="F10" s="2">
        <v>8.8000000000000007</v>
      </c>
      <c r="G10" s="2">
        <v>74</v>
      </c>
      <c r="H10" s="2" t="s">
        <v>28</v>
      </c>
      <c r="I10" s="2" t="s">
        <v>52</v>
      </c>
      <c r="J10" s="2">
        <v>2067042</v>
      </c>
      <c r="K10" s="3">
        <v>292576195</v>
      </c>
      <c r="L10">
        <f t="shared" si="0"/>
        <v>1</v>
      </c>
      <c r="N10">
        <f t="shared" si="1"/>
        <v>1</v>
      </c>
    </row>
    <row r="11" spans="1:15" ht="23.25">
      <c r="A11">
        <v>10</v>
      </c>
      <c r="B11" s="2" t="s">
        <v>53</v>
      </c>
      <c r="C11" s="2">
        <v>1999</v>
      </c>
      <c r="D11" s="2" t="s">
        <v>54</v>
      </c>
      <c r="E11" s="2" t="s">
        <v>17</v>
      </c>
      <c r="F11" s="2">
        <v>8.8000000000000007</v>
      </c>
      <c r="G11" s="2">
        <v>66</v>
      </c>
      <c r="H11" s="2" t="s">
        <v>55</v>
      </c>
      <c r="I11" s="2" t="s">
        <v>56</v>
      </c>
      <c r="J11" s="2">
        <v>1854740</v>
      </c>
      <c r="K11" s="3">
        <v>37030102</v>
      </c>
      <c r="L11">
        <f t="shared" si="0"/>
        <v>1</v>
      </c>
      <c r="N11">
        <f t="shared" si="1"/>
        <v>0</v>
      </c>
    </row>
    <row r="12" spans="1:15" ht="47.25">
      <c r="A12">
        <v>11</v>
      </c>
      <c r="B12" s="2" t="s">
        <v>57</v>
      </c>
      <c r="C12" s="2">
        <v>2001</v>
      </c>
      <c r="D12" s="2" t="s">
        <v>58</v>
      </c>
      <c r="E12" s="2" t="s">
        <v>27</v>
      </c>
      <c r="F12" s="2">
        <v>8.8000000000000007</v>
      </c>
      <c r="G12" s="2">
        <v>92</v>
      </c>
      <c r="H12" s="2" t="s">
        <v>39</v>
      </c>
      <c r="I12" s="2" t="s">
        <v>40</v>
      </c>
      <c r="J12" s="2">
        <v>1661481</v>
      </c>
      <c r="K12" s="3">
        <v>315544750</v>
      </c>
      <c r="L12">
        <f t="shared" si="0"/>
        <v>1</v>
      </c>
      <c r="N12">
        <f t="shared" si="1"/>
        <v>1</v>
      </c>
    </row>
    <row r="13" spans="1:15" ht="23.25">
      <c r="A13">
        <v>12</v>
      </c>
      <c r="B13" s="2" t="s">
        <v>59</v>
      </c>
      <c r="C13" s="2">
        <v>1994</v>
      </c>
      <c r="D13" s="2" t="s">
        <v>16</v>
      </c>
      <c r="E13" s="2" t="s">
        <v>60</v>
      </c>
      <c r="F13" s="2">
        <v>8.8000000000000007</v>
      </c>
      <c r="G13" s="2">
        <v>82</v>
      </c>
      <c r="H13" s="2" t="s">
        <v>61</v>
      </c>
      <c r="I13" s="2" t="s">
        <v>62</v>
      </c>
      <c r="J13" s="2">
        <v>1809221</v>
      </c>
      <c r="K13" s="3">
        <v>330252182</v>
      </c>
      <c r="L13">
        <f t="shared" si="0"/>
        <v>1</v>
      </c>
      <c r="N13">
        <f t="shared" si="1"/>
        <v>1</v>
      </c>
    </row>
    <row r="14" spans="1:15" ht="23.25">
      <c r="A14">
        <v>13</v>
      </c>
      <c r="B14" s="2" t="s">
        <v>63</v>
      </c>
      <c r="C14" s="2">
        <v>1966</v>
      </c>
      <c r="D14" s="2" t="s">
        <v>64</v>
      </c>
      <c r="E14" s="2" t="s">
        <v>65</v>
      </c>
      <c r="F14" s="2">
        <v>8.8000000000000007</v>
      </c>
      <c r="G14" s="2">
        <v>90</v>
      </c>
      <c r="H14" s="2" t="s">
        <v>66</v>
      </c>
      <c r="I14" s="2" t="s">
        <v>67</v>
      </c>
      <c r="J14" s="2">
        <v>688390</v>
      </c>
      <c r="K14" s="3">
        <v>6100000</v>
      </c>
      <c r="L14">
        <f t="shared" si="0"/>
        <v>1</v>
      </c>
      <c r="N14">
        <f t="shared" si="1"/>
        <v>0</v>
      </c>
    </row>
    <row r="15" spans="1:15" ht="35.25">
      <c r="A15">
        <v>14</v>
      </c>
      <c r="B15" s="2" t="s">
        <v>68</v>
      </c>
      <c r="C15" s="2">
        <v>2002</v>
      </c>
      <c r="D15" s="2" t="s">
        <v>69</v>
      </c>
      <c r="E15" s="2" t="s">
        <v>27</v>
      </c>
      <c r="F15" s="2">
        <v>8.6999999999999993</v>
      </c>
      <c r="G15" s="2">
        <v>87</v>
      </c>
      <c r="H15" s="2" t="s">
        <v>39</v>
      </c>
      <c r="I15" s="2" t="s">
        <v>40</v>
      </c>
      <c r="J15" s="2">
        <v>1485555</v>
      </c>
      <c r="K15" s="3">
        <v>342551365</v>
      </c>
      <c r="L15">
        <f t="shared" si="0"/>
        <v>1</v>
      </c>
      <c r="N15">
        <f t="shared" si="1"/>
        <v>1</v>
      </c>
    </row>
    <row r="16" spans="1:15" ht="23.25">
      <c r="A16">
        <v>15</v>
      </c>
      <c r="B16" s="2" t="s">
        <v>70</v>
      </c>
      <c r="C16" s="2">
        <v>1999</v>
      </c>
      <c r="D16" s="2" t="s">
        <v>71</v>
      </c>
      <c r="E16" s="2" t="s">
        <v>27</v>
      </c>
      <c r="F16" s="2">
        <v>8.6999999999999993</v>
      </c>
      <c r="G16" s="2">
        <v>73</v>
      </c>
      <c r="H16" s="2" t="s">
        <v>72</v>
      </c>
      <c r="I16" s="2" t="s">
        <v>73</v>
      </c>
      <c r="J16" s="2">
        <v>1676426</v>
      </c>
      <c r="K16" s="3">
        <v>171479930</v>
      </c>
      <c r="L16">
        <f t="shared" si="0"/>
        <v>1</v>
      </c>
      <c r="N16">
        <f t="shared" si="1"/>
        <v>1</v>
      </c>
    </row>
    <row r="17" spans="1:14" ht="23.25">
      <c r="A17">
        <v>16</v>
      </c>
      <c r="B17" s="2" t="s">
        <v>74</v>
      </c>
      <c r="C17" s="2">
        <v>1990</v>
      </c>
      <c r="D17" s="2" t="s">
        <v>75</v>
      </c>
      <c r="E17" s="2" t="s">
        <v>47</v>
      </c>
      <c r="F17" s="2">
        <v>8.6999999999999993</v>
      </c>
      <c r="G17" s="2">
        <v>90</v>
      </c>
      <c r="H17" s="2" t="s">
        <v>76</v>
      </c>
      <c r="I17" s="2" t="s">
        <v>77</v>
      </c>
      <c r="J17" s="2">
        <v>1020727</v>
      </c>
      <c r="K17" s="3">
        <v>46836394</v>
      </c>
      <c r="L17">
        <f t="shared" si="0"/>
        <v>1</v>
      </c>
      <c r="N17">
        <f t="shared" si="1"/>
        <v>0</v>
      </c>
    </row>
    <row r="18" spans="1:14" ht="47.25">
      <c r="A18">
        <v>17</v>
      </c>
      <c r="B18" s="2" t="s">
        <v>78</v>
      </c>
      <c r="C18" s="2">
        <v>1980</v>
      </c>
      <c r="D18" s="2" t="s">
        <v>79</v>
      </c>
      <c r="E18" s="2" t="s">
        <v>27</v>
      </c>
      <c r="F18" s="2">
        <v>8.6999999999999993</v>
      </c>
      <c r="G18" s="2">
        <v>82</v>
      </c>
      <c r="H18" s="2" t="s">
        <v>80</v>
      </c>
      <c r="I18" s="2" t="s">
        <v>81</v>
      </c>
      <c r="J18" s="2">
        <v>1159315</v>
      </c>
      <c r="K18" s="3">
        <v>290475067</v>
      </c>
      <c r="L18">
        <f t="shared" si="0"/>
        <v>1</v>
      </c>
      <c r="N18">
        <f t="shared" si="1"/>
        <v>1</v>
      </c>
    </row>
    <row r="19" spans="1:14" ht="35.25">
      <c r="A19">
        <v>18</v>
      </c>
      <c r="B19" s="2" t="s">
        <v>82</v>
      </c>
      <c r="C19" s="2">
        <v>1975</v>
      </c>
      <c r="D19" s="2" t="s">
        <v>83</v>
      </c>
      <c r="E19" s="2" t="s">
        <v>17</v>
      </c>
      <c r="F19" s="2">
        <v>8.6999999999999993</v>
      </c>
      <c r="G19" s="2">
        <v>83</v>
      </c>
      <c r="H19" s="2" t="s">
        <v>84</v>
      </c>
      <c r="I19" s="2" t="s">
        <v>85</v>
      </c>
      <c r="J19" s="2">
        <v>918088</v>
      </c>
      <c r="K19" s="3">
        <v>112000000</v>
      </c>
      <c r="L19">
        <f t="shared" si="0"/>
        <v>1</v>
      </c>
      <c r="N19">
        <f t="shared" si="1"/>
        <v>1</v>
      </c>
    </row>
    <row r="20" spans="1:14" ht="25.5">
      <c r="A20">
        <v>19</v>
      </c>
      <c r="B20" s="2" t="s">
        <v>86</v>
      </c>
      <c r="C20" s="2">
        <v>2020</v>
      </c>
      <c r="D20" s="2" t="s">
        <v>87</v>
      </c>
      <c r="E20" s="2" t="s">
        <v>47</v>
      </c>
      <c r="F20" s="2">
        <v>8.6</v>
      </c>
      <c r="G20" s="2">
        <v>90</v>
      </c>
      <c r="H20" s="2" t="s">
        <v>88</v>
      </c>
      <c r="I20" s="2" t="s">
        <v>89</v>
      </c>
      <c r="J20" s="2">
        <v>55291</v>
      </c>
      <c r="K20" s="4" t="s">
        <v>90</v>
      </c>
      <c r="L20">
        <f t="shared" si="0"/>
        <v>1</v>
      </c>
      <c r="N20">
        <f t="shared" si="1"/>
        <v>1</v>
      </c>
    </row>
    <row r="21" spans="1:14" ht="23.25">
      <c r="A21">
        <v>20</v>
      </c>
      <c r="B21" s="2" t="s">
        <v>91</v>
      </c>
      <c r="C21" s="2">
        <v>2019</v>
      </c>
      <c r="D21" s="2" t="s">
        <v>92</v>
      </c>
      <c r="E21" s="2" t="s">
        <v>93</v>
      </c>
      <c r="F21" s="2">
        <v>8.6</v>
      </c>
      <c r="G21" s="2">
        <v>96</v>
      </c>
      <c r="H21" s="2" t="s">
        <v>94</v>
      </c>
      <c r="I21" s="2" t="s">
        <v>95</v>
      </c>
      <c r="J21" s="2">
        <v>552778</v>
      </c>
      <c r="K21" s="3">
        <v>53367844</v>
      </c>
      <c r="L21">
        <f t="shared" si="0"/>
        <v>1</v>
      </c>
      <c r="N21">
        <f t="shared" si="1"/>
        <v>1</v>
      </c>
    </row>
    <row r="22" spans="1:14" ht="25.5">
      <c r="A22">
        <v>21</v>
      </c>
      <c r="B22" s="2" t="s">
        <v>96</v>
      </c>
      <c r="C22" s="2">
        <v>2020</v>
      </c>
      <c r="D22" s="2" t="s">
        <v>97</v>
      </c>
      <c r="E22" s="2" t="s">
        <v>17</v>
      </c>
      <c r="F22" s="2">
        <v>8.6</v>
      </c>
      <c r="G22" s="4" t="s">
        <v>90</v>
      </c>
      <c r="H22" s="2" t="s">
        <v>98</v>
      </c>
      <c r="I22" s="2" t="s">
        <v>99</v>
      </c>
      <c r="J22" s="2">
        <v>54995</v>
      </c>
      <c r="K22" s="4" t="s">
        <v>90</v>
      </c>
      <c r="L22">
        <f t="shared" si="0"/>
        <v>1</v>
      </c>
      <c r="N22">
        <f t="shared" si="1"/>
        <v>1</v>
      </c>
    </row>
    <row r="23" spans="1:14" ht="35.25">
      <c r="A23">
        <v>22</v>
      </c>
      <c r="B23" s="2" t="s">
        <v>100</v>
      </c>
      <c r="C23" s="2">
        <v>2014</v>
      </c>
      <c r="D23" s="2" t="s">
        <v>101</v>
      </c>
      <c r="E23" s="2" t="s">
        <v>102</v>
      </c>
      <c r="F23" s="2">
        <v>8.6</v>
      </c>
      <c r="G23" s="2">
        <v>74</v>
      </c>
      <c r="H23" s="2" t="s">
        <v>28</v>
      </c>
      <c r="I23" s="2" t="s">
        <v>103</v>
      </c>
      <c r="J23" s="2">
        <v>1512360</v>
      </c>
      <c r="K23" s="3">
        <v>188020017</v>
      </c>
      <c r="L23">
        <f t="shared" si="0"/>
        <v>1</v>
      </c>
      <c r="N23">
        <f t="shared" si="1"/>
        <v>1</v>
      </c>
    </row>
    <row r="24" spans="1:14" ht="23.25">
      <c r="A24">
        <v>23</v>
      </c>
      <c r="B24" s="2" t="s">
        <v>104</v>
      </c>
      <c r="C24" s="2">
        <v>2002</v>
      </c>
      <c r="D24" s="2" t="s">
        <v>105</v>
      </c>
      <c r="E24" s="2" t="s">
        <v>22</v>
      </c>
      <c r="F24" s="2">
        <v>8.6</v>
      </c>
      <c r="G24" s="2">
        <v>79</v>
      </c>
      <c r="H24" s="2" t="s">
        <v>106</v>
      </c>
      <c r="I24" s="2" t="s">
        <v>107</v>
      </c>
      <c r="J24" s="2">
        <v>699256</v>
      </c>
      <c r="K24" s="3">
        <v>7563397</v>
      </c>
      <c r="L24">
        <f t="shared" si="0"/>
        <v>1</v>
      </c>
      <c r="N24">
        <f t="shared" si="1"/>
        <v>0</v>
      </c>
    </row>
    <row r="25" spans="1:14" ht="23.25">
      <c r="A25">
        <v>24</v>
      </c>
      <c r="B25" s="2" t="s">
        <v>108</v>
      </c>
      <c r="C25" s="2">
        <v>2001</v>
      </c>
      <c r="D25" s="2" t="s">
        <v>109</v>
      </c>
      <c r="E25" s="2" t="s">
        <v>110</v>
      </c>
      <c r="F25" s="2">
        <v>8.6</v>
      </c>
      <c r="G25" s="2">
        <v>96</v>
      </c>
      <c r="H25" s="2" t="s">
        <v>111</v>
      </c>
      <c r="I25" s="2" t="s">
        <v>112</v>
      </c>
      <c r="J25" s="2">
        <v>651376</v>
      </c>
      <c r="K25" s="3">
        <v>10055859</v>
      </c>
      <c r="L25">
        <f t="shared" si="0"/>
        <v>1</v>
      </c>
      <c r="N25">
        <f t="shared" si="1"/>
        <v>0</v>
      </c>
    </row>
    <row r="26" spans="1:14" ht="23.25">
      <c r="A26">
        <v>25</v>
      </c>
      <c r="B26" s="2" t="s">
        <v>113</v>
      </c>
      <c r="C26" s="2">
        <v>1998</v>
      </c>
      <c r="D26" s="2" t="s">
        <v>101</v>
      </c>
      <c r="E26" s="2" t="s">
        <v>60</v>
      </c>
      <c r="F26" s="2">
        <v>8.6</v>
      </c>
      <c r="G26" s="2">
        <v>91</v>
      </c>
      <c r="H26" s="2" t="s">
        <v>48</v>
      </c>
      <c r="I26" s="2" t="s">
        <v>62</v>
      </c>
      <c r="J26" s="2">
        <v>1235804</v>
      </c>
      <c r="K26" s="3">
        <v>216540909</v>
      </c>
      <c r="L26">
        <f t="shared" si="0"/>
        <v>1</v>
      </c>
      <c r="N26">
        <f t="shared" si="1"/>
        <v>1</v>
      </c>
    </row>
    <row r="27" spans="1:14" ht="23.25">
      <c r="A27">
        <v>26</v>
      </c>
      <c r="B27" s="2" t="s">
        <v>114</v>
      </c>
      <c r="C27" s="2">
        <v>1999</v>
      </c>
      <c r="D27" s="2" t="s">
        <v>115</v>
      </c>
      <c r="E27" s="2" t="s">
        <v>22</v>
      </c>
      <c r="F27" s="2">
        <v>8.6</v>
      </c>
      <c r="G27" s="2">
        <v>61</v>
      </c>
      <c r="H27" s="2" t="s">
        <v>18</v>
      </c>
      <c r="I27" s="2" t="s">
        <v>62</v>
      </c>
      <c r="J27" s="2">
        <v>1147794</v>
      </c>
      <c r="K27" s="3">
        <v>136801374</v>
      </c>
      <c r="L27">
        <f t="shared" si="0"/>
        <v>1</v>
      </c>
      <c r="N27">
        <f t="shared" si="1"/>
        <v>1</v>
      </c>
    </row>
    <row r="28" spans="1:14" ht="23.25">
      <c r="A28">
        <v>27</v>
      </c>
      <c r="B28" s="2" t="s">
        <v>116</v>
      </c>
      <c r="C28" s="2">
        <v>1997</v>
      </c>
      <c r="D28" s="2" t="s">
        <v>117</v>
      </c>
      <c r="E28" s="2" t="s">
        <v>93</v>
      </c>
      <c r="F28" s="2">
        <v>8.6</v>
      </c>
      <c r="G28" s="2">
        <v>59</v>
      </c>
      <c r="H28" s="2" t="s">
        <v>118</v>
      </c>
      <c r="I28" s="2" t="s">
        <v>118</v>
      </c>
      <c r="J28" s="2">
        <v>623629</v>
      </c>
      <c r="K28" s="3">
        <v>57598247</v>
      </c>
      <c r="L28">
        <f t="shared" si="0"/>
        <v>1</v>
      </c>
      <c r="N28">
        <f t="shared" si="1"/>
        <v>1</v>
      </c>
    </row>
    <row r="29" spans="1:14" ht="23.25">
      <c r="A29">
        <v>28</v>
      </c>
      <c r="B29" s="2" t="s">
        <v>119</v>
      </c>
      <c r="C29" s="2">
        <v>1995</v>
      </c>
      <c r="D29" s="2" t="s">
        <v>120</v>
      </c>
      <c r="E29" s="2" t="s">
        <v>22</v>
      </c>
      <c r="F29" s="2">
        <v>8.6</v>
      </c>
      <c r="G29" s="2">
        <v>65</v>
      </c>
      <c r="H29" s="2" t="s">
        <v>55</v>
      </c>
      <c r="I29" s="2" t="s">
        <v>121</v>
      </c>
      <c r="J29" s="2">
        <v>1445096</v>
      </c>
      <c r="K29" s="3">
        <v>100125643</v>
      </c>
      <c r="L29">
        <f t="shared" si="0"/>
        <v>1</v>
      </c>
      <c r="N29">
        <f t="shared" si="1"/>
        <v>1</v>
      </c>
    </row>
    <row r="30" spans="1:14" ht="23.25">
      <c r="A30">
        <v>29</v>
      </c>
      <c r="B30" s="2" t="s">
        <v>122</v>
      </c>
      <c r="C30" s="2">
        <v>1991</v>
      </c>
      <c r="D30" s="2" t="s">
        <v>123</v>
      </c>
      <c r="E30" s="2" t="s">
        <v>22</v>
      </c>
      <c r="F30" s="2">
        <v>8.6</v>
      </c>
      <c r="G30" s="2">
        <v>85</v>
      </c>
      <c r="H30" s="2" t="s">
        <v>124</v>
      </c>
      <c r="I30" s="2" t="s">
        <v>125</v>
      </c>
      <c r="J30" s="2">
        <v>1270197</v>
      </c>
      <c r="K30" s="3">
        <v>130742922</v>
      </c>
      <c r="L30">
        <f t="shared" si="0"/>
        <v>1</v>
      </c>
      <c r="N30">
        <f t="shared" si="1"/>
        <v>1</v>
      </c>
    </row>
    <row r="31" spans="1:14" ht="23.25">
      <c r="A31">
        <v>30</v>
      </c>
      <c r="B31" s="2" t="s">
        <v>126</v>
      </c>
      <c r="C31" s="2">
        <v>1977</v>
      </c>
      <c r="D31" s="2" t="s">
        <v>127</v>
      </c>
      <c r="E31" s="2" t="s">
        <v>27</v>
      </c>
      <c r="F31" s="2">
        <v>8.6</v>
      </c>
      <c r="G31" s="2">
        <v>90</v>
      </c>
      <c r="H31" s="2" t="s">
        <v>128</v>
      </c>
      <c r="I31" s="2" t="s">
        <v>81</v>
      </c>
      <c r="J31" s="2">
        <v>1231473</v>
      </c>
      <c r="K31" s="3">
        <v>322740140</v>
      </c>
      <c r="L31">
        <f t="shared" si="0"/>
        <v>1</v>
      </c>
      <c r="N31">
        <f t="shared" si="1"/>
        <v>1</v>
      </c>
    </row>
    <row r="32" spans="1:14" ht="25.5">
      <c r="A32">
        <v>31</v>
      </c>
      <c r="B32" s="2" t="s">
        <v>129</v>
      </c>
      <c r="C32" s="2">
        <v>1962</v>
      </c>
      <c r="D32" s="2" t="s">
        <v>83</v>
      </c>
      <c r="E32" s="2" t="s">
        <v>27</v>
      </c>
      <c r="F32" s="2">
        <v>8.6</v>
      </c>
      <c r="G32" s="2">
        <v>85</v>
      </c>
      <c r="H32" s="2" t="s">
        <v>130</v>
      </c>
      <c r="I32" s="2" t="s">
        <v>131</v>
      </c>
      <c r="J32" s="2">
        <v>42004</v>
      </c>
      <c r="K32" s="4" t="s">
        <v>90</v>
      </c>
      <c r="L32">
        <f t="shared" si="0"/>
        <v>1</v>
      </c>
      <c r="N32">
        <f t="shared" si="1"/>
        <v>1</v>
      </c>
    </row>
    <row r="33" spans="1:14" ht="23.25">
      <c r="A33">
        <v>32</v>
      </c>
      <c r="B33" s="2" t="s">
        <v>132</v>
      </c>
      <c r="C33" s="2">
        <v>1954</v>
      </c>
      <c r="D33" s="2" t="s">
        <v>133</v>
      </c>
      <c r="E33" s="2" t="s">
        <v>27</v>
      </c>
      <c r="F33" s="2">
        <v>8.6</v>
      </c>
      <c r="G33" s="2">
        <v>98</v>
      </c>
      <c r="H33" s="2" t="s">
        <v>134</v>
      </c>
      <c r="I33" s="2" t="s">
        <v>135</v>
      </c>
      <c r="J33" s="2">
        <v>315744</v>
      </c>
      <c r="K33" s="3">
        <v>269061</v>
      </c>
      <c r="L33">
        <f t="shared" si="0"/>
        <v>1</v>
      </c>
      <c r="N33">
        <f t="shared" si="1"/>
        <v>0</v>
      </c>
    </row>
    <row r="34" spans="1:14" ht="25.5">
      <c r="A34">
        <v>33</v>
      </c>
      <c r="B34" s="2" t="s">
        <v>136</v>
      </c>
      <c r="C34" s="2">
        <v>1946</v>
      </c>
      <c r="D34" s="2" t="s">
        <v>105</v>
      </c>
      <c r="E34" s="2" t="s">
        <v>60</v>
      </c>
      <c r="F34" s="2">
        <v>8.6</v>
      </c>
      <c r="G34" s="2">
        <v>89</v>
      </c>
      <c r="H34" s="2" t="s">
        <v>137</v>
      </c>
      <c r="I34" s="2" t="s">
        <v>138</v>
      </c>
      <c r="J34" s="2">
        <v>405801</v>
      </c>
      <c r="K34" s="4" t="s">
        <v>90</v>
      </c>
      <c r="L34">
        <f t="shared" si="0"/>
        <v>1</v>
      </c>
      <c r="N34">
        <f t="shared" si="1"/>
        <v>1</v>
      </c>
    </row>
    <row r="35" spans="1:14" ht="23.25">
      <c r="A35">
        <v>34</v>
      </c>
      <c r="B35" s="2" t="s">
        <v>139</v>
      </c>
      <c r="C35" s="2">
        <v>2019</v>
      </c>
      <c r="D35" s="2" t="s">
        <v>140</v>
      </c>
      <c r="E35" s="2" t="s">
        <v>22</v>
      </c>
      <c r="F35" s="2">
        <v>8.5</v>
      </c>
      <c r="G35" s="2">
        <v>59</v>
      </c>
      <c r="H35" s="2" t="s">
        <v>141</v>
      </c>
      <c r="I35" s="2" t="s">
        <v>142</v>
      </c>
      <c r="J35" s="2">
        <v>939252</v>
      </c>
      <c r="K35" s="3">
        <v>335451311</v>
      </c>
      <c r="L35">
        <f t="shared" si="0"/>
        <v>1</v>
      </c>
      <c r="N35">
        <f t="shared" si="1"/>
        <v>1</v>
      </c>
    </row>
    <row r="36" spans="1:14" ht="23.25">
      <c r="A36">
        <v>35</v>
      </c>
      <c r="B36" s="2" t="s">
        <v>143</v>
      </c>
      <c r="C36" s="2">
        <v>2014</v>
      </c>
      <c r="D36" s="2" t="s">
        <v>144</v>
      </c>
      <c r="E36" s="2" t="s">
        <v>60</v>
      </c>
      <c r="F36" s="2">
        <v>8.5</v>
      </c>
      <c r="G36" s="2">
        <v>88</v>
      </c>
      <c r="H36" s="2" t="s">
        <v>145</v>
      </c>
      <c r="I36" s="2" t="s">
        <v>146</v>
      </c>
      <c r="J36" s="2">
        <v>717585</v>
      </c>
      <c r="K36" s="3">
        <v>13092000</v>
      </c>
      <c r="L36">
        <f t="shared" si="0"/>
        <v>1</v>
      </c>
      <c r="N36">
        <f t="shared" si="1"/>
        <v>0</v>
      </c>
    </row>
    <row r="37" spans="1:14" ht="23.25">
      <c r="A37">
        <v>36</v>
      </c>
      <c r="B37" s="2" t="s">
        <v>147</v>
      </c>
      <c r="C37" s="2">
        <v>2011</v>
      </c>
      <c r="D37" s="2" t="s">
        <v>148</v>
      </c>
      <c r="E37" s="2" t="s">
        <v>47</v>
      </c>
      <c r="F37" s="2">
        <v>8.5</v>
      </c>
      <c r="G37" s="2">
        <v>57</v>
      </c>
      <c r="H37" s="2" t="s">
        <v>149</v>
      </c>
      <c r="I37" s="2" t="s">
        <v>150</v>
      </c>
      <c r="J37" s="2">
        <v>760360</v>
      </c>
      <c r="K37" s="3">
        <v>13182281</v>
      </c>
      <c r="L37">
        <f t="shared" si="0"/>
        <v>1</v>
      </c>
      <c r="N37">
        <f t="shared" si="1"/>
        <v>0</v>
      </c>
    </row>
    <row r="38" spans="1:14" ht="23.25">
      <c r="A38">
        <v>37</v>
      </c>
      <c r="B38" s="2" t="s">
        <v>151</v>
      </c>
      <c r="C38" s="2">
        <v>2006</v>
      </c>
      <c r="D38" s="2" t="s">
        <v>105</v>
      </c>
      <c r="E38" s="2" t="s">
        <v>60</v>
      </c>
      <c r="F38" s="2">
        <v>8.5</v>
      </c>
      <c r="G38" s="2">
        <v>66</v>
      </c>
      <c r="H38" s="2" t="s">
        <v>28</v>
      </c>
      <c r="I38" s="2" t="s">
        <v>29</v>
      </c>
      <c r="J38" s="2">
        <v>1190259</v>
      </c>
      <c r="K38" s="3">
        <v>53089891</v>
      </c>
      <c r="L38">
        <f t="shared" si="0"/>
        <v>1</v>
      </c>
      <c r="N38">
        <f t="shared" si="1"/>
        <v>1</v>
      </c>
    </row>
    <row r="39" spans="1:14" ht="23.25">
      <c r="A39">
        <v>38</v>
      </c>
      <c r="B39" s="2" t="s">
        <v>152</v>
      </c>
      <c r="C39" s="2">
        <v>2006</v>
      </c>
      <c r="D39" s="2" t="s">
        <v>153</v>
      </c>
      <c r="E39" s="2" t="s">
        <v>22</v>
      </c>
      <c r="F39" s="2">
        <v>8.5</v>
      </c>
      <c r="G39" s="2">
        <v>85</v>
      </c>
      <c r="H39" s="2" t="s">
        <v>76</v>
      </c>
      <c r="I39" s="2" t="s">
        <v>52</v>
      </c>
      <c r="J39" s="2">
        <v>1189773</v>
      </c>
      <c r="K39" s="3">
        <v>132384315</v>
      </c>
      <c r="L39">
        <f t="shared" si="0"/>
        <v>1</v>
      </c>
      <c r="N39">
        <f t="shared" si="1"/>
        <v>1</v>
      </c>
    </row>
    <row r="40" spans="1:14" ht="23.25">
      <c r="A40">
        <v>39</v>
      </c>
      <c r="B40" s="2" t="s">
        <v>154</v>
      </c>
      <c r="C40" s="2">
        <v>2002</v>
      </c>
      <c r="D40" s="2" t="s">
        <v>155</v>
      </c>
      <c r="E40" s="2" t="s">
        <v>47</v>
      </c>
      <c r="F40" s="2">
        <v>8.5</v>
      </c>
      <c r="G40" s="2">
        <v>85</v>
      </c>
      <c r="H40" s="2" t="s">
        <v>156</v>
      </c>
      <c r="I40" s="2" t="s">
        <v>157</v>
      </c>
      <c r="J40" s="2">
        <v>729603</v>
      </c>
      <c r="K40" s="3">
        <v>32572577</v>
      </c>
      <c r="L40">
        <f t="shared" si="0"/>
        <v>1</v>
      </c>
      <c r="N40">
        <f t="shared" si="1"/>
        <v>0</v>
      </c>
    </row>
    <row r="41" spans="1:14" ht="23.25">
      <c r="A41">
        <v>40</v>
      </c>
      <c r="B41" s="2" t="s">
        <v>158</v>
      </c>
      <c r="C41" s="2">
        <v>2000</v>
      </c>
      <c r="D41" s="2" t="s">
        <v>159</v>
      </c>
      <c r="E41" s="2" t="s">
        <v>27</v>
      </c>
      <c r="F41" s="2">
        <v>8.5</v>
      </c>
      <c r="G41" s="2">
        <v>67</v>
      </c>
      <c r="H41" s="2" t="s">
        <v>160</v>
      </c>
      <c r="I41" s="2" t="s">
        <v>161</v>
      </c>
      <c r="J41" s="2">
        <v>1341460</v>
      </c>
      <c r="K41" s="3">
        <v>187705427</v>
      </c>
      <c r="L41">
        <f t="shared" si="0"/>
        <v>1</v>
      </c>
      <c r="N41">
        <f t="shared" si="1"/>
        <v>1</v>
      </c>
    </row>
    <row r="42" spans="1:14" ht="23.25">
      <c r="A42">
        <v>41</v>
      </c>
      <c r="B42" s="2" t="s">
        <v>162</v>
      </c>
      <c r="C42" s="2">
        <v>1998</v>
      </c>
      <c r="D42" s="2" t="s">
        <v>163</v>
      </c>
      <c r="E42" s="2" t="s">
        <v>17</v>
      </c>
      <c r="F42" s="2">
        <v>8.5</v>
      </c>
      <c r="G42" s="2">
        <v>62</v>
      </c>
      <c r="H42" s="2" t="s">
        <v>164</v>
      </c>
      <c r="I42" s="2" t="s">
        <v>165</v>
      </c>
      <c r="J42" s="2">
        <v>1034705</v>
      </c>
      <c r="K42" s="3">
        <v>6719864</v>
      </c>
      <c r="L42">
        <f t="shared" si="0"/>
        <v>1</v>
      </c>
      <c r="N42">
        <f t="shared" si="1"/>
        <v>0</v>
      </c>
    </row>
    <row r="43" spans="1:14" ht="23.25">
      <c r="A43">
        <v>42</v>
      </c>
      <c r="B43" s="2" t="s">
        <v>166</v>
      </c>
      <c r="C43" s="2">
        <v>1995</v>
      </c>
      <c r="D43" s="2" t="s">
        <v>144</v>
      </c>
      <c r="E43" s="2" t="s">
        <v>22</v>
      </c>
      <c r="F43" s="2">
        <v>8.5</v>
      </c>
      <c r="G43" s="2">
        <v>77</v>
      </c>
      <c r="H43" s="2" t="s">
        <v>167</v>
      </c>
      <c r="I43" s="2" t="s">
        <v>168</v>
      </c>
      <c r="J43" s="2">
        <v>991208</v>
      </c>
      <c r="K43" s="3">
        <v>23341568</v>
      </c>
      <c r="L43">
        <f t="shared" si="0"/>
        <v>1</v>
      </c>
      <c r="N43">
        <f t="shared" si="1"/>
        <v>0</v>
      </c>
    </row>
    <row r="44" spans="1:14" ht="14.25">
      <c r="A44">
        <v>43</v>
      </c>
      <c r="B44" s="2" t="s">
        <v>169</v>
      </c>
      <c r="C44" s="2">
        <v>1994</v>
      </c>
      <c r="D44" s="2" t="s">
        <v>170</v>
      </c>
      <c r="E44" s="2" t="s">
        <v>27</v>
      </c>
      <c r="F44" s="2">
        <v>8.5</v>
      </c>
      <c r="G44" s="2">
        <v>64</v>
      </c>
      <c r="H44" s="2" t="s">
        <v>171</v>
      </c>
      <c r="I44" s="2" t="s">
        <v>172</v>
      </c>
      <c r="J44" s="2">
        <v>1035236</v>
      </c>
      <c r="K44" s="3">
        <v>19501238</v>
      </c>
      <c r="L44">
        <f t="shared" si="0"/>
        <v>1</v>
      </c>
      <c r="N44">
        <f t="shared" si="1"/>
        <v>0</v>
      </c>
    </row>
    <row r="45" spans="1:14" ht="23.25">
      <c r="A45">
        <v>44</v>
      </c>
      <c r="B45" s="2" t="s">
        <v>173</v>
      </c>
      <c r="C45" s="2">
        <v>1994</v>
      </c>
      <c r="D45" s="2" t="s">
        <v>174</v>
      </c>
      <c r="E45" s="2" t="s">
        <v>110</v>
      </c>
      <c r="F45" s="2">
        <v>8.5</v>
      </c>
      <c r="G45" s="2">
        <v>88</v>
      </c>
      <c r="H45" s="2" t="s">
        <v>175</v>
      </c>
      <c r="I45" s="2" t="s">
        <v>176</v>
      </c>
      <c r="J45" s="2">
        <v>942045</v>
      </c>
      <c r="K45" s="3">
        <v>422783777</v>
      </c>
      <c r="L45">
        <f t="shared" si="0"/>
        <v>1</v>
      </c>
      <c r="N45">
        <f t="shared" si="1"/>
        <v>1</v>
      </c>
    </row>
    <row r="46" spans="1:14" ht="35.25">
      <c r="A46">
        <v>45</v>
      </c>
      <c r="B46" s="2" t="s">
        <v>177</v>
      </c>
      <c r="C46" s="2">
        <v>1991</v>
      </c>
      <c r="D46" s="2" t="s">
        <v>178</v>
      </c>
      <c r="E46" s="2" t="s">
        <v>27</v>
      </c>
      <c r="F46" s="2">
        <v>8.5</v>
      </c>
      <c r="G46" s="2">
        <v>75</v>
      </c>
      <c r="H46" s="2" t="s">
        <v>179</v>
      </c>
      <c r="I46" s="2" t="s">
        <v>180</v>
      </c>
      <c r="J46" s="2">
        <v>995506</v>
      </c>
      <c r="K46" s="3">
        <v>204843350</v>
      </c>
      <c r="L46">
        <f t="shared" si="0"/>
        <v>1</v>
      </c>
      <c r="N46">
        <f t="shared" si="1"/>
        <v>1</v>
      </c>
    </row>
    <row r="47" spans="1:14" ht="23.25">
      <c r="A47">
        <v>46</v>
      </c>
      <c r="B47" s="2" t="s">
        <v>181</v>
      </c>
      <c r="C47" s="2">
        <v>1988</v>
      </c>
      <c r="D47" s="2" t="s">
        <v>159</v>
      </c>
      <c r="E47" s="2" t="s">
        <v>60</v>
      </c>
      <c r="F47" s="2">
        <v>8.5</v>
      </c>
      <c r="G47" s="2">
        <v>80</v>
      </c>
      <c r="H47" s="2" t="s">
        <v>182</v>
      </c>
      <c r="I47" s="2" t="s">
        <v>183</v>
      </c>
      <c r="J47" s="2">
        <v>230763</v>
      </c>
      <c r="K47" s="3">
        <v>11990401</v>
      </c>
      <c r="L47">
        <f t="shared" si="0"/>
        <v>1</v>
      </c>
      <c r="N47">
        <f t="shared" si="1"/>
        <v>0</v>
      </c>
    </row>
    <row r="48" spans="1:14" ht="25.5">
      <c r="A48">
        <v>47</v>
      </c>
      <c r="B48" s="2" t="s">
        <v>184</v>
      </c>
      <c r="C48" s="2">
        <v>1988</v>
      </c>
      <c r="D48" s="2" t="s">
        <v>185</v>
      </c>
      <c r="E48" s="2" t="s">
        <v>110</v>
      </c>
      <c r="F48" s="2">
        <v>8.5</v>
      </c>
      <c r="G48" s="2">
        <v>94</v>
      </c>
      <c r="H48" s="2" t="s">
        <v>186</v>
      </c>
      <c r="I48" s="2" t="s">
        <v>187</v>
      </c>
      <c r="J48" s="2">
        <v>235231</v>
      </c>
      <c r="K48" s="4" t="s">
        <v>90</v>
      </c>
      <c r="L48">
        <f t="shared" si="0"/>
        <v>1</v>
      </c>
      <c r="N48">
        <f t="shared" si="1"/>
        <v>1</v>
      </c>
    </row>
    <row r="49" spans="1:14" ht="23.25">
      <c r="A49">
        <v>48</v>
      </c>
      <c r="B49" s="2" t="s">
        <v>188</v>
      </c>
      <c r="C49" s="2">
        <v>1985</v>
      </c>
      <c r="D49" s="2" t="s">
        <v>117</v>
      </c>
      <c r="E49" s="2" t="s">
        <v>102</v>
      </c>
      <c r="F49" s="2">
        <v>8.5</v>
      </c>
      <c r="G49" s="2">
        <v>87</v>
      </c>
      <c r="H49" s="2" t="s">
        <v>61</v>
      </c>
      <c r="I49" s="2" t="s">
        <v>189</v>
      </c>
      <c r="J49" s="2">
        <v>1058081</v>
      </c>
      <c r="K49" s="3">
        <v>210609762</v>
      </c>
      <c r="L49">
        <f t="shared" si="0"/>
        <v>1</v>
      </c>
      <c r="N49">
        <f t="shared" si="1"/>
        <v>1</v>
      </c>
    </row>
    <row r="50" spans="1:14" ht="35.25">
      <c r="A50">
        <v>49</v>
      </c>
      <c r="B50" s="2" t="s">
        <v>190</v>
      </c>
      <c r="C50" s="2">
        <v>1968</v>
      </c>
      <c r="D50" s="2" t="s">
        <v>191</v>
      </c>
      <c r="E50" s="2" t="s">
        <v>65</v>
      </c>
      <c r="F50" s="2">
        <v>8.5</v>
      </c>
      <c r="G50" s="2">
        <v>80</v>
      </c>
      <c r="H50" s="2" t="s">
        <v>66</v>
      </c>
      <c r="I50" s="2" t="s">
        <v>36</v>
      </c>
      <c r="J50" s="2">
        <v>302844</v>
      </c>
      <c r="K50" s="3">
        <v>5321508</v>
      </c>
      <c r="L50">
        <f t="shared" si="0"/>
        <v>1</v>
      </c>
      <c r="N50">
        <f t="shared" si="1"/>
        <v>0</v>
      </c>
    </row>
    <row r="51" spans="1:14" ht="23.25">
      <c r="A51">
        <v>50</v>
      </c>
      <c r="B51" s="2" t="s">
        <v>192</v>
      </c>
      <c r="C51" s="2">
        <v>1960</v>
      </c>
      <c r="D51" s="2" t="s">
        <v>193</v>
      </c>
      <c r="E51" s="2" t="s">
        <v>194</v>
      </c>
      <c r="F51" s="2">
        <v>8.5</v>
      </c>
      <c r="G51" s="2">
        <v>97</v>
      </c>
      <c r="H51" s="2" t="s">
        <v>195</v>
      </c>
      <c r="I51" s="2" t="s">
        <v>196</v>
      </c>
      <c r="J51" s="2">
        <v>604211</v>
      </c>
      <c r="K51" s="3">
        <v>32000000</v>
      </c>
      <c r="L51">
        <f t="shared" si="0"/>
        <v>1</v>
      </c>
      <c r="N51">
        <f t="shared" si="1"/>
        <v>0</v>
      </c>
    </row>
    <row r="52" spans="1:14" ht="23.25">
      <c r="A52">
        <v>51</v>
      </c>
      <c r="B52" s="2" t="s">
        <v>197</v>
      </c>
      <c r="C52" s="2">
        <v>1942</v>
      </c>
      <c r="D52" s="2" t="s">
        <v>198</v>
      </c>
      <c r="E52" s="2" t="s">
        <v>60</v>
      </c>
      <c r="F52" s="2">
        <v>8.5</v>
      </c>
      <c r="G52" s="2">
        <v>100</v>
      </c>
      <c r="H52" s="2" t="s">
        <v>199</v>
      </c>
      <c r="I52" s="2" t="s">
        <v>200</v>
      </c>
      <c r="J52" s="2">
        <v>522093</v>
      </c>
      <c r="K52" s="3">
        <v>1024560</v>
      </c>
      <c r="L52">
        <f t="shared" si="0"/>
        <v>1</v>
      </c>
      <c r="N52">
        <f t="shared" si="1"/>
        <v>0</v>
      </c>
    </row>
    <row r="53" spans="1:14" ht="23.25">
      <c r="A53">
        <v>52</v>
      </c>
      <c r="B53" s="2" t="s">
        <v>201</v>
      </c>
      <c r="C53" s="2">
        <v>1936</v>
      </c>
      <c r="D53" s="2" t="s">
        <v>202</v>
      </c>
      <c r="E53" s="2" t="s">
        <v>93</v>
      </c>
      <c r="F53" s="2">
        <v>8.5</v>
      </c>
      <c r="G53" s="2">
        <v>96</v>
      </c>
      <c r="H53" s="2" t="s">
        <v>203</v>
      </c>
      <c r="I53" s="2" t="s">
        <v>203</v>
      </c>
      <c r="J53" s="2">
        <v>217881</v>
      </c>
      <c r="K53" s="3">
        <v>163245</v>
      </c>
      <c r="L53">
        <f t="shared" si="0"/>
        <v>1</v>
      </c>
      <c r="N53">
        <f t="shared" si="1"/>
        <v>0</v>
      </c>
    </row>
    <row r="54" spans="1:14" ht="23.25">
      <c r="A54">
        <v>53</v>
      </c>
      <c r="B54" s="2" t="s">
        <v>204</v>
      </c>
      <c r="C54" s="2">
        <v>1931</v>
      </c>
      <c r="D54" s="2" t="s">
        <v>202</v>
      </c>
      <c r="E54" s="2" t="s">
        <v>93</v>
      </c>
      <c r="F54" s="2">
        <v>8.5</v>
      </c>
      <c r="G54" s="2">
        <v>99</v>
      </c>
      <c r="H54" s="2" t="s">
        <v>203</v>
      </c>
      <c r="I54" s="2" t="s">
        <v>203</v>
      </c>
      <c r="J54" s="2">
        <v>167839</v>
      </c>
      <c r="K54" s="3">
        <v>19181</v>
      </c>
      <c r="L54">
        <f t="shared" si="0"/>
        <v>1</v>
      </c>
      <c r="N54">
        <f t="shared" si="1"/>
        <v>0</v>
      </c>
    </row>
    <row r="55" spans="1:14" ht="23.25">
      <c r="A55">
        <v>54</v>
      </c>
      <c r="B55" s="2" t="s">
        <v>205</v>
      </c>
      <c r="C55" s="2">
        <v>2018</v>
      </c>
      <c r="D55" s="2" t="s">
        <v>206</v>
      </c>
      <c r="E55" s="2" t="s">
        <v>17</v>
      </c>
      <c r="F55" s="2">
        <v>8.4</v>
      </c>
      <c r="G55" s="2">
        <v>75</v>
      </c>
      <c r="H55" s="2" t="s">
        <v>207</v>
      </c>
      <c r="I55" s="2" t="s">
        <v>208</v>
      </c>
      <c r="J55" s="2">
        <v>62635</v>
      </c>
      <c r="K55" s="3">
        <v>1661096</v>
      </c>
      <c r="L55">
        <f t="shared" si="0"/>
        <v>1</v>
      </c>
      <c r="N55">
        <f t="shared" si="1"/>
        <v>0</v>
      </c>
    </row>
    <row r="56" spans="1:14" ht="35.25">
      <c r="A56">
        <v>55</v>
      </c>
      <c r="B56" s="2" t="s">
        <v>209</v>
      </c>
      <c r="C56" s="2">
        <v>2017</v>
      </c>
      <c r="D56" s="2" t="s">
        <v>109</v>
      </c>
      <c r="E56" s="2" t="s">
        <v>47</v>
      </c>
      <c r="F56" s="2">
        <v>8.4</v>
      </c>
      <c r="G56" s="4" t="s">
        <v>90</v>
      </c>
      <c r="H56" s="2" t="s">
        <v>210</v>
      </c>
      <c r="I56" s="2" t="s">
        <v>211</v>
      </c>
      <c r="J56" s="2">
        <v>34112</v>
      </c>
      <c r="K56" s="4" t="s">
        <v>90</v>
      </c>
      <c r="L56">
        <f t="shared" si="0"/>
        <v>1</v>
      </c>
      <c r="N56">
        <f t="shared" si="1"/>
        <v>1</v>
      </c>
    </row>
    <row r="57" spans="1:14" ht="25.5">
      <c r="A57">
        <v>56</v>
      </c>
      <c r="B57" s="2" t="s">
        <v>212</v>
      </c>
      <c r="C57" s="2">
        <v>2017</v>
      </c>
      <c r="D57" s="2" t="s">
        <v>213</v>
      </c>
      <c r="E57" s="2" t="s">
        <v>27</v>
      </c>
      <c r="F57" s="2">
        <v>8.4</v>
      </c>
      <c r="G57" s="4" t="s">
        <v>90</v>
      </c>
      <c r="H57" s="2" t="s">
        <v>214</v>
      </c>
      <c r="I57" s="2" t="s">
        <v>215</v>
      </c>
      <c r="J57" s="2">
        <v>28401</v>
      </c>
      <c r="K57" s="4" t="s">
        <v>90</v>
      </c>
      <c r="L57">
        <f t="shared" si="0"/>
        <v>1</v>
      </c>
      <c r="N57">
        <f t="shared" si="1"/>
        <v>1</v>
      </c>
    </row>
    <row r="58" spans="1:14" ht="23.25">
      <c r="A58">
        <v>57</v>
      </c>
      <c r="B58" s="2" t="s">
        <v>216</v>
      </c>
      <c r="C58" s="2">
        <v>2016</v>
      </c>
      <c r="D58" s="2" t="s">
        <v>144</v>
      </c>
      <c r="E58" s="2" t="s">
        <v>110</v>
      </c>
      <c r="F58" s="2">
        <v>8.4</v>
      </c>
      <c r="G58" s="2">
        <v>79</v>
      </c>
      <c r="H58" s="2" t="s">
        <v>217</v>
      </c>
      <c r="I58" s="2" t="s">
        <v>218</v>
      </c>
      <c r="J58" s="2">
        <v>194838</v>
      </c>
      <c r="K58" s="3">
        <v>5017246</v>
      </c>
      <c r="L58">
        <f t="shared" si="0"/>
        <v>1</v>
      </c>
      <c r="N58">
        <f t="shared" si="1"/>
        <v>0</v>
      </c>
    </row>
    <row r="59" spans="1:14" ht="25.5">
      <c r="A59">
        <v>58</v>
      </c>
      <c r="B59" s="2" t="s">
        <v>219</v>
      </c>
      <c r="C59" s="2">
        <v>2016</v>
      </c>
      <c r="D59" s="2" t="s">
        <v>64</v>
      </c>
      <c r="E59" s="2" t="s">
        <v>27</v>
      </c>
      <c r="F59" s="2">
        <v>8.4</v>
      </c>
      <c r="G59" s="4" t="s">
        <v>90</v>
      </c>
      <c r="H59" s="2" t="s">
        <v>220</v>
      </c>
      <c r="I59" s="2" t="s">
        <v>221</v>
      </c>
      <c r="J59" s="2">
        <v>156479</v>
      </c>
      <c r="K59" s="3">
        <v>12391761</v>
      </c>
      <c r="L59">
        <f t="shared" si="0"/>
        <v>1</v>
      </c>
      <c r="N59">
        <f t="shared" si="1"/>
        <v>0</v>
      </c>
    </row>
    <row r="60" spans="1:14" ht="35.25">
      <c r="A60">
        <v>59</v>
      </c>
      <c r="B60" s="2" t="s">
        <v>222</v>
      </c>
      <c r="C60" s="2">
        <v>2018</v>
      </c>
      <c r="D60" s="2" t="s">
        <v>223</v>
      </c>
      <c r="E60" s="2" t="s">
        <v>110</v>
      </c>
      <c r="F60" s="2">
        <v>8.4</v>
      </c>
      <c r="G60" s="2">
        <v>87</v>
      </c>
      <c r="H60" s="2" t="s">
        <v>224</v>
      </c>
      <c r="I60" s="2" t="s">
        <v>225</v>
      </c>
      <c r="J60" s="2">
        <v>375110</v>
      </c>
      <c r="K60" s="3">
        <v>190241310</v>
      </c>
      <c r="L60">
        <f t="shared" si="0"/>
        <v>1</v>
      </c>
      <c r="N60">
        <f t="shared" si="1"/>
        <v>1</v>
      </c>
    </row>
    <row r="61" spans="1:14" ht="23.25">
      <c r="A61">
        <v>60</v>
      </c>
      <c r="B61" s="2" t="s">
        <v>226</v>
      </c>
      <c r="C61" s="2">
        <v>2019</v>
      </c>
      <c r="D61" s="2" t="s">
        <v>227</v>
      </c>
      <c r="E61" s="2" t="s">
        <v>27</v>
      </c>
      <c r="F61" s="2">
        <v>8.4</v>
      </c>
      <c r="G61" s="2">
        <v>78</v>
      </c>
      <c r="H61" s="2" t="s">
        <v>228</v>
      </c>
      <c r="I61" s="2" t="s">
        <v>229</v>
      </c>
      <c r="J61" s="2">
        <v>809955</v>
      </c>
      <c r="K61" s="3">
        <v>858373000</v>
      </c>
      <c r="L61">
        <f t="shared" si="0"/>
        <v>1</v>
      </c>
      <c r="N61">
        <f t="shared" si="1"/>
        <v>1</v>
      </c>
    </row>
    <row r="62" spans="1:14" ht="23.25">
      <c r="A62">
        <v>61</v>
      </c>
      <c r="B62" s="2" t="s">
        <v>230</v>
      </c>
      <c r="C62" s="2">
        <v>2018</v>
      </c>
      <c r="D62" s="2" t="s">
        <v>231</v>
      </c>
      <c r="E62" s="2" t="s">
        <v>27</v>
      </c>
      <c r="F62" s="2">
        <v>8.4</v>
      </c>
      <c r="G62" s="2">
        <v>68</v>
      </c>
      <c r="H62" s="2" t="s">
        <v>228</v>
      </c>
      <c r="I62" s="2" t="s">
        <v>229</v>
      </c>
      <c r="J62" s="2">
        <v>834477</v>
      </c>
      <c r="K62" s="3">
        <v>678815482</v>
      </c>
      <c r="L62">
        <f t="shared" si="0"/>
        <v>1</v>
      </c>
      <c r="N62">
        <f t="shared" si="1"/>
        <v>1</v>
      </c>
    </row>
    <row r="63" spans="1:14" ht="23.25">
      <c r="A63">
        <v>62</v>
      </c>
      <c r="B63" s="2" t="s">
        <v>232</v>
      </c>
      <c r="C63" s="2">
        <v>2017</v>
      </c>
      <c r="D63" s="2" t="s">
        <v>233</v>
      </c>
      <c r="E63" s="2" t="s">
        <v>110</v>
      </c>
      <c r="F63" s="2">
        <v>8.4</v>
      </c>
      <c r="G63" s="2">
        <v>81</v>
      </c>
      <c r="H63" s="2" t="s">
        <v>234</v>
      </c>
      <c r="I63" s="2" t="s">
        <v>235</v>
      </c>
      <c r="J63" s="2">
        <v>384171</v>
      </c>
      <c r="K63" s="3">
        <v>209726015</v>
      </c>
      <c r="L63">
        <f t="shared" si="0"/>
        <v>1</v>
      </c>
      <c r="N63">
        <f t="shared" si="1"/>
        <v>1</v>
      </c>
    </row>
    <row r="64" spans="1:14" ht="23.25">
      <c r="A64">
        <v>63</v>
      </c>
      <c r="B64" s="2" t="s">
        <v>236</v>
      </c>
      <c r="C64" s="2">
        <v>2012</v>
      </c>
      <c r="D64" s="2" t="s">
        <v>191</v>
      </c>
      <c r="E64" s="2" t="s">
        <v>60</v>
      </c>
      <c r="F64" s="2">
        <v>8.4</v>
      </c>
      <c r="G64" s="2">
        <v>81</v>
      </c>
      <c r="H64" s="2" t="s">
        <v>43</v>
      </c>
      <c r="I64" s="2" t="s">
        <v>237</v>
      </c>
      <c r="J64" s="2">
        <v>1357682</v>
      </c>
      <c r="K64" s="3">
        <v>162805434</v>
      </c>
      <c r="L64">
        <f t="shared" si="0"/>
        <v>1</v>
      </c>
      <c r="N64">
        <f t="shared" si="1"/>
        <v>1</v>
      </c>
    </row>
    <row r="65" spans="1:14" ht="23.25">
      <c r="A65">
        <v>64</v>
      </c>
      <c r="B65" s="2" t="s">
        <v>238</v>
      </c>
      <c r="C65" s="2">
        <v>2012</v>
      </c>
      <c r="D65" s="2" t="s">
        <v>239</v>
      </c>
      <c r="E65" s="2" t="s">
        <v>27</v>
      </c>
      <c r="F65" s="2">
        <v>8.4</v>
      </c>
      <c r="G65" s="2">
        <v>78</v>
      </c>
      <c r="H65" s="2" t="s">
        <v>28</v>
      </c>
      <c r="I65" s="2" t="s">
        <v>29</v>
      </c>
      <c r="J65" s="2">
        <v>1516346</v>
      </c>
      <c r="K65" s="3">
        <v>448139099</v>
      </c>
      <c r="L65">
        <f t="shared" si="0"/>
        <v>1</v>
      </c>
      <c r="N65">
        <f t="shared" si="1"/>
        <v>1</v>
      </c>
    </row>
    <row r="66" spans="1:14" ht="23.25">
      <c r="A66">
        <v>65</v>
      </c>
      <c r="B66" s="2" t="s">
        <v>240</v>
      </c>
      <c r="C66" s="2">
        <v>2009</v>
      </c>
      <c r="D66" s="2" t="s">
        <v>241</v>
      </c>
      <c r="E66" s="2" t="s">
        <v>93</v>
      </c>
      <c r="F66" s="2">
        <v>8.4</v>
      </c>
      <c r="G66" s="2">
        <v>67</v>
      </c>
      <c r="H66" s="2" t="s">
        <v>242</v>
      </c>
      <c r="I66" s="2" t="s">
        <v>221</v>
      </c>
      <c r="J66" s="2">
        <v>344445</v>
      </c>
      <c r="K66" s="3">
        <v>6532908</v>
      </c>
      <c r="L66">
        <f t="shared" si="0"/>
        <v>1</v>
      </c>
      <c r="N66">
        <f t="shared" si="1"/>
        <v>0</v>
      </c>
    </row>
    <row r="67" spans="1:14" ht="25.5">
      <c r="A67">
        <v>66</v>
      </c>
      <c r="B67" s="2" t="s">
        <v>243</v>
      </c>
      <c r="C67" s="2">
        <v>2007</v>
      </c>
      <c r="D67" s="2" t="s">
        <v>191</v>
      </c>
      <c r="E67" s="2" t="s">
        <v>60</v>
      </c>
      <c r="F67" s="2">
        <v>8.4</v>
      </c>
      <c r="G67" s="4" t="s">
        <v>90</v>
      </c>
      <c r="H67" s="2" t="s">
        <v>221</v>
      </c>
      <c r="I67" s="2" t="s">
        <v>244</v>
      </c>
      <c r="J67" s="2">
        <v>168895</v>
      </c>
      <c r="K67" s="3">
        <v>1223869</v>
      </c>
      <c r="L67">
        <f t="shared" ref="L67:L130" si="2">IF(AND(F67&gt;=8.2, G67&gt;8.2), 1, 0)</f>
        <v>1</v>
      </c>
      <c r="N67">
        <f t="shared" ref="N67:N130" si="3">IF(K67&gt;=50000000, 1, 0)</f>
        <v>0</v>
      </c>
    </row>
    <row r="68" spans="1:14" ht="23.25">
      <c r="A68">
        <v>67</v>
      </c>
      <c r="B68" s="2" t="s">
        <v>245</v>
      </c>
      <c r="C68" s="2">
        <v>2008</v>
      </c>
      <c r="D68" s="2" t="s">
        <v>246</v>
      </c>
      <c r="E68" s="2" t="s">
        <v>110</v>
      </c>
      <c r="F68" s="2">
        <v>8.4</v>
      </c>
      <c r="G68" s="2">
        <v>95</v>
      </c>
      <c r="H68" s="2" t="s">
        <v>247</v>
      </c>
      <c r="I68" s="2" t="s">
        <v>248</v>
      </c>
      <c r="J68" s="2">
        <v>999790</v>
      </c>
      <c r="K68" s="3">
        <v>223808164</v>
      </c>
      <c r="L68">
        <f t="shared" si="2"/>
        <v>1</v>
      </c>
      <c r="N68">
        <f t="shared" si="3"/>
        <v>1</v>
      </c>
    </row>
    <row r="69" spans="1:14" ht="58.5">
      <c r="A69">
        <v>68</v>
      </c>
      <c r="B69" s="2" t="s">
        <v>249</v>
      </c>
      <c r="C69" s="2">
        <v>2006</v>
      </c>
      <c r="D69" s="2" t="s">
        <v>178</v>
      </c>
      <c r="E69" s="2" t="s">
        <v>60</v>
      </c>
      <c r="F69" s="2">
        <v>8.4</v>
      </c>
      <c r="G69" s="2">
        <v>89</v>
      </c>
      <c r="H69" s="2" t="s">
        <v>250</v>
      </c>
      <c r="I69" s="2" t="s">
        <v>251</v>
      </c>
      <c r="J69" s="2">
        <v>358685</v>
      </c>
      <c r="K69" s="3">
        <v>11286112</v>
      </c>
      <c r="L69">
        <f t="shared" si="2"/>
        <v>1</v>
      </c>
      <c r="N69">
        <f t="shared" si="3"/>
        <v>0</v>
      </c>
    </row>
    <row r="70" spans="1:14" ht="23.25">
      <c r="A70">
        <v>69</v>
      </c>
      <c r="B70" s="2" t="s">
        <v>252</v>
      </c>
      <c r="C70" s="2">
        <v>2003</v>
      </c>
      <c r="D70" s="2" t="s">
        <v>253</v>
      </c>
      <c r="E70" s="2" t="s">
        <v>27</v>
      </c>
      <c r="F70" s="2">
        <v>8.4</v>
      </c>
      <c r="G70" s="2">
        <v>77</v>
      </c>
      <c r="H70" s="2" t="s">
        <v>254</v>
      </c>
      <c r="I70" s="2" t="s">
        <v>255</v>
      </c>
      <c r="J70" s="2">
        <v>515451</v>
      </c>
      <c r="K70" s="3">
        <v>707481</v>
      </c>
      <c r="L70">
        <f t="shared" si="2"/>
        <v>1</v>
      </c>
      <c r="N70">
        <f t="shared" si="3"/>
        <v>0</v>
      </c>
    </row>
    <row r="71" spans="1:14" ht="23.25">
      <c r="A71">
        <v>70</v>
      </c>
      <c r="B71" s="2" t="s">
        <v>256</v>
      </c>
      <c r="C71" s="2">
        <v>2000</v>
      </c>
      <c r="D71" s="2" t="s">
        <v>257</v>
      </c>
      <c r="E71" s="2" t="s">
        <v>258</v>
      </c>
      <c r="F71" s="2">
        <v>8.4</v>
      </c>
      <c r="G71" s="2">
        <v>80</v>
      </c>
      <c r="H71" s="2" t="s">
        <v>28</v>
      </c>
      <c r="I71" s="2" t="s">
        <v>259</v>
      </c>
      <c r="J71" s="2">
        <v>1125712</v>
      </c>
      <c r="K71" s="3">
        <v>25544867</v>
      </c>
      <c r="L71">
        <f t="shared" si="2"/>
        <v>1</v>
      </c>
      <c r="N71">
        <f t="shared" si="3"/>
        <v>0</v>
      </c>
    </row>
    <row r="72" spans="1:14" ht="23.25">
      <c r="A72">
        <v>71</v>
      </c>
      <c r="B72" s="2" t="s">
        <v>260</v>
      </c>
      <c r="C72" s="2">
        <v>1997</v>
      </c>
      <c r="D72" s="2" t="s">
        <v>261</v>
      </c>
      <c r="E72" s="2" t="s">
        <v>110</v>
      </c>
      <c r="F72" s="2">
        <v>8.4</v>
      </c>
      <c r="G72" s="2">
        <v>76</v>
      </c>
      <c r="H72" s="2" t="s">
        <v>111</v>
      </c>
      <c r="I72" s="2" t="s">
        <v>262</v>
      </c>
      <c r="J72" s="2">
        <v>343171</v>
      </c>
      <c r="K72" s="3">
        <v>2375308</v>
      </c>
      <c r="L72">
        <f t="shared" si="2"/>
        <v>1</v>
      </c>
      <c r="N72">
        <f t="shared" si="3"/>
        <v>0</v>
      </c>
    </row>
    <row r="73" spans="1:14" ht="25.5">
      <c r="A73">
        <v>72</v>
      </c>
      <c r="B73" s="2" t="s">
        <v>263</v>
      </c>
      <c r="C73" s="2">
        <v>1984</v>
      </c>
      <c r="D73" s="2" t="s">
        <v>264</v>
      </c>
      <c r="E73" s="2" t="s">
        <v>22</v>
      </c>
      <c r="F73" s="2">
        <v>8.4</v>
      </c>
      <c r="G73" s="4" t="s">
        <v>90</v>
      </c>
      <c r="H73" s="2" t="s">
        <v>66</v>
      </c>
      <c r="I73" s="2" t="s">
        <v>77</v>
      </c>
      <c r="J73" s="2">
        <v>311365</v>
      </c>
      <c r="K73" s="3">
        <v>5321508</v>
      </c>
      <c r="L73">
        <f t="shared" si="2"/>
        <v>1</v>
      </c>
      <c r="N73">
        <f t="shared" si="3"/>
        <v>0</v>
      </c>
    </row>
    <row r="74" spans="1:14" ht="23.25">
      <c r="A74">
        <v>73</v>
      </c>
      <c r="B74" s="2" t="s">
        <v>265</v>
      </c>
      <c r="C74" s="2">
        <v>1981</v>
      </c>
      <c r="D74" s="2" t="s">
        <v>266</v>
      </c>
      <c r="E74" s="2" t="s">
        <v>27</v>
      </c>
      <c r="F74" s="2">
        <v>8.4</v>
      </c>
      <c r="G74" s="2">
        <v>85</v>
      </c>
      <c r="H74" s="2" t="s">
        <v>48</v>
      </c>
      <c r="I74" s="2" t="s">
        <v>267</v>
      </c>
      <c r="J74" s="2">
        <v>884112</v>
      </c>
      <c r="K74" s="3">
        <v>248159971</v>
      </c>
      <c r="L74">
        <f t="shared" si="2"/>
        <v>1</v>
      </c>
      <c r="N74">
        <f t="shared" si="3"/>
        <v>1</v>
      </c>
    </row>
    <row r="75" spans="1:14" ht="23.25">
      <c r="A75">
        <v>74</v>
      </c>
      <c r="B75" s="2" t="s">
        <v>268</v>
      </c>
      <c r="C75" s="2">
        <v>1980</v>
      </c>
      <c r="D75" s="2" t="s">
        <v>75</v>
      </c>
      <c r="E75" s="2" t="s">
        <v>60</v>
      </c>
      <c r="F75" s="2">
        <v>8.4</v>
      </c>
      <c r="G75" s="2">
        <v>66</v>
      </c>
      <c r="H75" s="2" t="s">
        <v>269</v>
      </c>
      <c r="I75" s="2" t="s">
        <v>85</v>
      </c>
      <c r="J75" s="2">
        <v>898237</v>
      </c>
      <c r="K75" s="3">
        <v>44017374</v>
      </c>
      <c r="L75">
        <f t="shared" si="2"/>
        <v>1</v>
      </c>
      <c r="N75">
        <f t="shared" si="3"/>
        <v>0</v>
      </c>
    </row>
    <row r="76" spans="1:14" ht="23.25">
      <c r="A76">
        <v>75</v>
      </c>
      <c r="B76" s="2" t="s">
        <v>270</v>
      </c>
      <c r="C76" s="2">
        <v>1979</v>
      </c>
      <c r="D76" s="2" t="s">
        <v>213</v>
      </c>
      <c r="E76" s="2" t="s">
        <v>60</v>
      </c>
      <c r="F76" s="2">
        <v>8.4</v>
      </c>
      <c r="G76" s="2">
        <v>94</v>
      </c>
      <c r="H76" s="2" t="s">
        <v>23</v>
      </c>
      <c r="I76" s="2" t="s">
        <v>271</v>
      </c>
      <c r="J76" s="2">
        <v>606398</v>
      </c>
      <c r="K76" s="3">
        <v>83471511</v>
      </c>
      <c r="L76">
        <f t="shared" si="2"/>
        <v>1</v>
      </c>
      <c r="N76">
        <f t="shared" si="3"/>
        <v>1</v>
      </c>
    </row>
    <row r="77" spans="1:14" ht="23.25">
      <c r="A77">
        <v>76</v>
      </c>
      <c r="B77" s="2" t="s">
        <v>272</v>
      </c>
      <c r="C77" s="2">
        <v>1979</v>
      </c>
      <c r="D77" s="2" t="s">
        <v>223</v>
      </c>
      <c r="E77" s="2" t="s">
        <v>194</v>
      </c>
      <c r="F77" s="2">
        <v>8.4</v>
      </c>
      <c r="G77" s="2">
        <v>89</v>
      </c>
      <c r="H77" s="2" t="s">
        <v>160</v>
      </c>
      <c r="I77" s="2" t="s">
        <v>273</v>
      </c>
      <c r="J77" s="2">
        <v>787806</v>
      </c>
      <c r="K77" s="3">
        <v>78900000</v>
      </c>
      <c r="L77">
        <f t="shared" si="2"/>
        <v>1</v>
      </c>
      <c r="N77">
        <f t="shared" si="3"/>
        <v>1</v>
      </c>
    </row>
    <row r="78" spans="1:14" ht="25.5">
      <c r="A78">
        <v>77</v>
      </c>
      <c r="B78" s="2" t="s">
        <v>274</v>
      </c>
      <c r="C78" s="2">
        <v>1971</v>
      </c>
      <c r="D78" s="2" t="s">
        <v>140</v>
      </c>
      <c r="E78" s="2" t="s">
        <v>60</v>
      </c>
      <c r="F78" s="2">
        <v>8.4</v>
      </c>
      <c r="G78" s="4" t="s">
        <v>90</v>
      </c>
      <c r="H78" s="2" t="s">
        <v>275</v>
      </c>
      <c r="I78" s="2" t="s">
        <v>276</v>
      </c>
      <c r="J78" s="2">
        <v>30273</v>
      </c>
      <c r="K78" s="4" t="s">
        <v>90</v>
      </c>
      <c r="L78">
        <f t="shared" si="2"/>
        <v>1</v>
      </c>
      <c r="N78">
        <f t="shared" si="3"/>
        <v>1</v>
      </c>
    </row>
    <row r="79" spans="1:14" ht="25.5">
      <c r="A79">
        <v>78</v>
      </c>
      <c r="B79" s="2" t="s">
        <v>277</v>
      </c>
      <c r="C79" s="2">
        <v>1963</v>
      </c>
      <c r="D79" s="2" t="s">
        <v>278</v>
      </c>
      <c r="E79" s="2" t="s">
        <v>22</v>
      </c>
      <c r="F79" s="2">
        <v>8.4</v>
      </c>
      <c r="G79" s="4" t="s">
        <v>90</v>
      </c>
      <c r="H79" s="2" t="s">
        <v>134</v>
      </c>
      <c r="I79" s="2" t="s">
        <v>135</v>
      </c>
      <c r="J79" s="2">
        <v>34357</v>
      </c>
      <c r="K79" s="4" t="s">
        <v>90</v>
      </c>
      <c r="L79">
        <f t="shared" si="2"/>
        <v>1</v>
      </c>
      <c r="N79">
        <f t="shared" si="3"/>
        <v>1</v>
      </c>
    </row>
    <row r="80" spans="1:14" ht="58.5">
      <c r="A80">
        <v>79</v>
      </c>
      <c r="B80" s="2" t="s">
        <v>279</v>
      </c>
      <c r="C80" s="2">
        <v>1964</v>
      </c>
      <c r="D80" s="2" t="s">
        <v>280</v>
      </c>
      <c r="E80" s="2" t="s">
        <v>281</v>
      </c>
      <c r="F80" s="2">
        <v>8.4</v>
      </c>
      <c r="G80" s="2">
        <v>97</v>
      </c>
      <c r="H80" s="2" t="s">
        <v>269</v>
      </c>
      <c r="I80" s="2" t="s">
        <v>282</v>
      </c>
      <c r="J80" s="2">
        <v>450474</v>
      </c>
      <c r="K80" s="3">
        <v>275902</v>
      </c>
      <c r="L80">
        <f t="shared" si="2"/>
        <v>1</v>
      </c>
      <c r="N80">
        <f t="shared" si="3"/>
        <v>0</v>
      </c>
    </row>
    <row r="81" spans="1:14" ht="25.5">
      <c r="A81">
        <v>80</v>
      </c>
      <c r="B81" s="2" t="s">
        <v>283</v>
      </c>
      <c r="C81" s="2">
        <v>1957</v>
      </c>
      <c r="D81" s="2" t="s">
        <v>117</v>
      </c>
      <c r="E81" s="2" t="s">
        <v>22</v>
      </c>
      <c r="F81" s="2">
        <v>8.4</v>
      </c>
      <c r="G81" s="4" t="s">
        <v>90</v>
      </c>
      <c r="H81" s="2" t="s">
        <v>284</v>
      </c>
      <c r="I81" s="2" t="s">
        <v>285</v>
      </c>
      <c r="J81" s="2">
        <v>108862</v>
      </c>
      <c r="K81" s="3">
        <v>8175000</v>
      </c>
      <c r="L81">
        <f t="shared" si="2"/>
        <v>1</v>
      </c>
      <c r="N81">
        <f t="shared" si="3"/>
        <v>0</v>
      </c>
    </row>
    <row r="82" spans="1:14" ht="25.5">
      <c r="A82">
        <v>81</v>
      </c>
      <c r="B82" s="2" t="s">
        <v>286</v>
      </c>
      <c r="C82" s="2">
        <v>1957</v>
      </c>
      <c r="D82" s="2" t="s">
        <v>174</v>
      </c>
      <c r="E82" s="2" t="s">
        <v>60</v>
      </c>
      <c r="F82" s="2">
        <v>8.4</v>
      </c>
      <c r="G82" s="2">
        <v>90</v>
      </c>
      <c r="H82" s="2" t="s">
        <v>269</v>
      </c>
      <c r="I82" s="2" t="s">
        <v>287</v>
      </c>
      <c r="J82" s="2">
        <v>178092</v>
      </c>
      <c r="K82" s="4" t="s">
        <v>90</v>
      </c>
      <c r="L82">
        <f t="shared" si="2"/>
        <v>1</v>
      </c>
      <c r="N82">
        <f t="shared" si="3"/>
        <v>1</v>
      </c>
    </row>
    <row r="83" spans="1:14" ht="23.25">
      <c r="A83">
        <v>82</v>
      </c>
      <c r="B83" s="2" t="s">
        <v>288</v>
      </c>
      <c r="C83" s="2">
        <v>1954</v>
      </c>
      <c r="D83" s="2" t="s">
        <v>148</v>
      </c>
      <c r="E83" s="2" t="s">
        <v>258</v>
      </c>
      <c r="F83" s="2">
        <v>8.4</v>
      </c>
      <c r="G83" s="2">
        <v>100</v>
      </c>
      <c r="H83" s="2" t="s">
        <v>195</v>
      </c>
      <c r="I83" s="2" t="s">
        <v>138</v>
      </c>
      <c r="J83" s="2">
        <v>444074</v>
      </c>
      <c r="K83" s="3">
        <v>36764313</v>
      </c>
      <c r="L83">
        <f t="shared" si="2"/>
        <v>1</v>
      </c>
      <c r="N83">
        <f t="shared" si="3"/>
        <v>0</v>
      </c>
    </row>
    <row r="84" spans="1:14" ht="25.5">
      <c r="A84">
        <v>83</v>
      </c>
      <c r="B84" s="2" t="s">
        <v>289</v>
      </c>
      <c r="C84" s="2">
        <v>1950</v>
      </c>
      <c r="D84" s="2" t="s">
        <v>170</v>
      </c>
      <c r="E84" s="2" t="s">
        <v>60</v>
      </c>
      <c r="F84" s="2">
        <v>8.4</v>
      </c>
      <c r="G84" s="4" t="s">
        <v>90</v>
      </c>
      <c r="H84" s="2" t="s">
        <v>284</v>
      </c>
      <c r="I84" s="2" t="s">
        <v>290</v>
      </c>
      <c r="J84" s="2">
        <v>201632</v>
      </c>
      <c r="K84" s="4" t="s">
        <v>90</v>
      </c>
      <c r="L84">
        <f t="shared" si="2"/>
        <v>1</v>
      </c>
      <c r="N84">
        <f t="shared" si="3"/>
        <v>1</v>
      </c>
    </row>
    <row r="85" spans="1:14" ht="25.5">
      <c r="A85">
        <v>84</v>
      </c>
      <c r="B85" s="2" t="s">
        <v>291</v>
      </c>
      <c r="C85" s="2">
        <v>1940</v>
      </c>
      <c r="D85" s="2" t="s">
        <v>109</v>
      </c>
      <c r="E85" s="2" t="s">
        <v>93</v>
      </c>
      <c r="F85" s="2">
        <v>8.4</v>
      </c>
      <c r="G85" s="4" t="s">
        <v>90</v>
      </c>
      <c r="H85" s="2" t="s">
        <v>203</v>
      </c>
      <c r="I85" s="2" t="s">
        <v>203</v>
      </c>
      <c r="J85" s="2">
        <v>203150</v>
      </c>
      <c r="K85" s="3">
        <v>288475</v>
      </c>
      <c r="L85">
        <f t="shared" si="2"/>
        <v>1</v>
      </c>
      <c r="N85">
        <f t="shared" si="3"/>
        <v>0</v>
      </c>
    </row>
    <row r="86" spans="1:14" ht="35.25">
      <c r="A86">
        <v>85</v>
      </c>
      <c r="B86" s="2">
        <v>1917</v>
      </c>
      <c r="C86" s="2">
        <v>2019</v>
      </c>
      <c r="D86" s="2" t="s">
        <v>163</v>
      </c>
      <c r="E86" s="2" t="s">
        <v>60</v>
      </c>
      <c r="F86" s="2">
        <v>8.3000000000000007</v>
      </c>
      <c r="G86" s="2">
        <v>78</v>
      </c>
      <c r="H86" s="2" t="s">
        <v>292</v>
      </c>
      <c r="I86" s="2" t="s">
        <v>293</v>
      </c>
      <c r="J86" s="2">
        <v>425844</v>
      </c>
      <c r="K86" s="3">
        <v>159227644</v>
      </c>
      <c r="L86">
        <f t="shared" si="2"/>
        <v>1</v>
      </c>
      <c r="N86">
        <f t="shared" si="3"/>
        <v>1</v>
      </c>
    </row>
    <row r="87" spans="1:14" ht="25.5">
      <c r="A87">
        <v>86</v>
      </c>
      <c r="B87" s="2" t="s">
        <v>294</v>
      </c>
      <c r="C87" s="2">
        <v>2018</v>
      </c>
      <c r="D87" s="2" t="s">
        <v>295</v>
      </c>
      <c r="E87" s="2" t="s">
        <v>60</v>
      </c>
      <c r="F87" s="2">
        <v>8.3000000000000007</v>
      </c>
      <c r="G87" s="4" t="s">
        <v>90</v>
      </c>
      <c r="H87" s="2" t="s">
        <v>296</v>
      </c>
      <c r="I87" s="2" t="s">
        <v>297</v>
      </c>
      <c r="J87" s="2">
        <v>27793</v>
      </c>
      <c r="K87" s="4" t="s">
        <v>90</v>
      </c>
      <c r="L87">
        <f t="shared" si="2"/>
        <v>1</v>
      </c>
      <c r="N87">
        <f t="shared" si="3"/>
        <v>1</v>
      </c>
    </row>
    <row r="88" spans="1:14" ht="25.5">
      <c r="A88">
        <v>87</v>
      </c>
      <c r="B88" s="2" t="s">
        <v>298</v>
      </c>
      <c r="C88" s="2">
        <v>2018</v>
      </c>
      <c r="D88" s="2" t="s">
        <v>54</v>
      </c>
      <c r="E88" s="2" t="s">
        <v>22</v>
      </c>
      <c r="F88" s="2">
        <v>8.3000000000000007</v>
      </c>
      <c r="G88" s="4" t="s">
        <v>90</v>
      </c>
      <c r="H88" s="2" t="s">
        <v>299</v>
      </c>
      <c r="I88" s="2" t="s">
        <v>300</v>
      </c>
      <c r="J88" s="2">
        <v>71875</v>
      </c>
      <c r="K88" s="3">
        <v>1373943</v>
      </c>
      <c r="L88">
        <f t="shared" si="2"/>
        <v>1</v>
      </c>
      <c r="N88">
        <f t="shared" si="3"/>
        <v>0</v>
      </c>
    </row>
    <row r="89" spans="1:14" ht="25.5">
      <c r="A89">
        <v>88</v>
      </c>
      <c r="B89" s="2" t="s">
        <v>301</v>
      </c>
      <c r="C89" s="2">
        <v>2013</v>
      </c>
      <c r="D89" s="2" t="s">
        <v>87</v>
      </c>
      <c r="E89" s="2" t="s">
        <v>22</v>
      </c>
      <c r="F89" s="2">
        <v>8.3000000000000007</v>
      </c>
      <c r="G89" s="4" t="s">
        <v>90</v>
      </c>
      <c r="H89" s="2" t="s">
        <v>302</v>
      </c>
      <c r="I89" s="2" t="s">
        <v>303</v>
      </c>
      <c r="J89" s="2">
        <v>30722</v>
      </c>
      <c r="K89" s="4" t="s">
        <v>90</v>
      </c>
      <c r="L89">
        <f t="shared" si="2"/>
        <v>1</v>
      </c>
      <c r="N89">
        <f t="shared" si="3"/>
        <v>1</v>
      </c>
    </row>
    <row r="90" spans="1:14" ht="23.25">
      <c r="A90">
        <v>89</v>
      </c>
      <c r="B90" s="2" t="s">
        <v>304</v>
      </c>
      <c r="C90" s="2">
        <v>2012</v>
      </c>
      <c r="D90" s="2" t="s">
        <v>266</v>
      </c>
      <c r="E90" s="2" t="s">
        <v>17</v>
      </c>
      <c r="F90" s="2">
        <v>8.3000000000000007</v>
      </c>
      <c r="G90" s="2">
        <v>77</v>
      </c>
      <c r="H90" s="2" t="s">
        <v>305</v>
      </c>
      <c r="I90" s="2" t="s">
        <v>306</v>
      </c>
      <c r="J90" s="2">
        <v>281623</v>
      </c>
      <c r="K90" s="3">
        <v>687185</v>
      </c>
      <c r="L90">
        <f t="shared" si="2"/>
        <v>1</v>
      </c>
      <c r="N90">
        <f t="shared" si="3"/>
        <v>0</v>
      </c>
    </row>
    <row r="91" spans="1:14" ht="23.25">
      <c r="A91">
        <v>90</v>
      </c>
      <c r="B91" s="2" t="s">
        <v>307</v>
      </c>
      <c r="C91" s="2">
        <v>2011</v>
      </c>
      <c r="D91" s="2" t="s">
        <v>308</v>
      </c>
      <c r="E91" s="2" t="s">
        <v>17</v>
      </c>
      <c r="F91" s="2">
        <v>8.3000000000000007</v>
      </c>
      <c r="G91" s="2">
        <v>95</v>
      </c>
      <c r="H91" s="2" t="s">
        <v>309</v>
      </c>
      <c r="I91" s="2" t="s">
        <v>310</v>
      </c>
      <c r="J91" s="2">
        <v>220002</v>
      </c>
      <c r="K91" s="3">
        <v>7098492</v>
      </c>
      <c r="L91">
        <f t="shared" si="2"/>
        <v>1</v>
      </c>
      <c r="N91">
        <f t="shared" si="3"/>
        <v>0</v>
      </c>
    </row>
    <row r="92" spans="1:14" ht="23.25">
      <c r="A92">
        <v>91</v>
      </c>
      <c r="B92" s="2" t="s">
        <v>311</v>
      </c>
      <c r="C92" s="2">
        <v>2010</v>
      </c>
      <c r="D92" s="2" t="s">
        <v>312</v>
      </c>
      <c r="E92" s="2" t="s">
        <v>60</v>
      </c>
      <c r="F92" s="2">
        <v>8.3000000000000007</v>
      </c>
      <c r="G92" s="2">
        <v>80</v>
      </c>
      <c r="H92" s="2" t="s">
        <v>313</v>
      </c>
      <c r="I92" s="2" t="s">
        <v>314</v>
      </c>
      <c r="J92" s="2">
        <v>150023</v>
      </c>
      <c r="K92" s="3">
        <v>6857096</v>
      </c>
      <c r="L92">
        <f t="shared" si="2"/>
        <v>1</v>
      </c>
      <c r="N92">
        <f t="shared" si="3"/>
        <v>0</v>
      </c>
    </row>
    <row r="93" spans="1:14" ht="35.25">
      <c r="A93">
        <v>92</v>
      </c>
      <c r="B93" s="2" t="s">
        <v>315</v>
      </c>
      <c r="C93" s="2">
        <v>2019</v>
      </c>
      <c r="D93" s="2" t="s">
        <v>92</v>
      </c>
      <c r="E93" s="2" t="s">
        <v>17</v>
      </c>
      <c r="F93" s="2">
        <v>8.3000000000000007</v>
      </c>
      <c r="G93" s="4" t="s">
        <v>90</v>
      </c>
      <c r="H93" s="2" t="s">
        <v>316</v>
      </c>
      <c r="I93" s="2" t="s">
        <v>317</v>
      </c>
      <c r="J93" s="2">
        <v>33935</v>
      </c>
      <c r="K93" s="4" t="s">
        <v>90</v>
      </c>
      <c r="L93">
        <f t="shared" si="2"/>
        <v>1</v>
      </c>
      <c r="N93">
        <f t="shared" si="3"/>
        <v>1</v>
      </c>
    </row>
    <row r="94" spans="1:14" ht="25.5">
      <c r="A94">
        <v>93</v>
      </c>
      <c r="B94" s="2" t="s">
        <v>318</v>
      </c>
      <c r="C94" s="2">
        <v>2005</v>
      </c>
      <c r="D94" s="2" t="s">
        <v>148</v>
      </c>
      <c r="E94" s="2" t="s">
        <v>60</v>
      </c>
      <c r="F94" s="2">
        <v>8.3000000000000007</v>
      </c>
      <c r="G94" s="4" t="s">
        <v>90</v>
      </c>
      <c r="H94" s="2" t="s">
        <v>319</v>
      </c>
      <c r="I94" s="2" t="s">
        <v>320</v>
      </c>
      <c r="J94" s="2">
        <v>78925</v>
      </c>
      <c r="K94" s="4" t="s">
        <v>90</v>
      </c>
      <c r="L94">
        <f t="shared" si="2"/>
        <v>1</v>
      </c>
      <c r="N94">
        <f t="shared" si="3"/>
        <v>1</v>
      </c>
    </row>
    <row r="95" spans="1:14" ht="23.25">
      <c r="A95">
        <v>94</v>
      </c>
      <c r="B95" s="2" t="s">
        <v>321</v>
      </c>
      <c r="C95" s="2">
        <v>2009</v>
      </c>
      <c r="D95" s="2" t="s">
        <v>97</v>
      </c>
      <c r="E95" s="2" t="s">
        <v>102</v>
      </c>
      <c r="F95" s="2">
        <v>8.3000000000000007</v>
      </c>
      <c r="G95" s="2">
        <v>69</v>
      </c>
      <c r="H95" s="2" t="s">
        <v>43</v>
      </c>
      <c r="I95" s="2" t="s">
        <v>56</v>
      </c>
      <c r="J95" s="2">
        <v>1267869</v>
      </c>
      <c r="K95" s="3">
        <v>120540719</v>
      </c>
      <c r="L95">
        <f t="shared" si="2"/>
        <v>1</v>
      </c>
      <c r="N95">
        <f t="shared" si="3"/>
        <v>1</v>
      </c>
    </row>
    <row r="96" spans="1:14" ht="35.25">
      <c r="A96">
        <v>95</v>
      </c>
      <c r="B96" s="2" t="s">
        <v>322</v>
      </c>
      <c r="C96" s="2">
        <v>2004</v>
      </c>
      <c r="D96" s="2" t="s">
        <v>323</v>
      </c>
      <c r="E96" s="2" t="s">
        <v>60</v>
      </c>
      <c r="F96" s="2">
        <v>8.3000000000000007</v>
      </c>
      <c r="G96" s="2">
        <v>89</v>
      </c>
      <c r="H96" s="2" t="s">
        <v>324</v>
      </c>
      <c r="I96" s="2" t="s">
        <v>325</v>
      </c>
      <c r="J96" s="2">
        <v>911664</v>
      </c>
      <c r="K96" s="3">
        <v>34400301</v>
      </c>
      <c r="L96">
        <f t="shared" si="2"/>
        <v>1</v>
      </c>
      <c r="N96">
        <f t="shared" si="3"/>
        <v>0</v>
      </c>
    </row>
    <row r="97" spans="1:14" ht="23.25">
      <c r="A97">
        <v>96</v>
      </c>
      <c r="B97" s="2" t="s">
        <v>326</v>
      </c>
      <c r="C97" s="2">
        <v>2001</v>
      </c>
      <c r="D97" s="2" t="s">
        <v>140</v>
      </c>
      <c r="E97" s="2" t="s">
        <v>93</v>
      </c>
      <c r="F97" s="2">
        <v>8.3000000000000007</v>
      </c>
      <c r="G97" s="2">
        <v>69</v>
      </c>
      <c r="H97" s="2" t="s">
        <v>327</v>
      </c>
      <c r="I97" s="2" t="s">
        <v>328</v>
      </c>
      <c r="J97" s="2">
        <v>703810</v>
      </c>
      <c r="K97" s="3">
        <v>33225499</v>
      </c>
      <c r="L97">
        <f t="shared" si="2"/>
        <v>1</v>
      </c>
      <c r="N97">
        <f t="shared" si="3"/>
        <v>0</v>
      </c>
    </row>
    <row r="98" spans="1:14" ht="23.25">
      <c r="A98">
        <v>97</v>
      </c>
      <c r="B98" s="2" t="s">
        <v>329</v>
      </c>
      <c r="C98" s="2">
        <v>2000</v>
      </c>
      <c r="D98" s="2" t="s">
        <v>295</v>
      </c>
      <c r="E98" s="2" t="s">
        <v>93</v>
      </c>
      <c r="F98" s="2">
        <v>8.3000000000000007</v>
      </c>
      <c r="G98" s="2">
        <v>55</v>
      </c>
      <c r="H98" s="2" t="s">
        <v>330</v>
      </c>
      <c r="I98" s="2" t="s">
        <v>331</v>
      </c>
      <c r="J98" s="2">
        <v>782001</v>
      </c>
      <c r="K98" s="3">
        <v>30328156</v>
      </c>
      <c r="L98">
        <f t="shared" si="2"/>
        <v>1</v>
      </c>
      <c r="N98">
        <f t="shared" si="3"/>
        <v>0</v>
      </c>
    </row>
    <row r="99" spans="1:14" ht="23.25">
      <c r="A99">
        <v>98</v>
      </c>
      <c r="B99" s="2" t="s">
        <v>332</v>
      </c>
      <c r="C99" s="2">
        <v>2000</v>
      </c>
      <c r="D99" s="2" t="s">
        <v>198</v>
      </c>
      <c r="E99" s="2" t="s">
        <v>17</v>
      </c>
      <c r="F99" s="2">
        <v>8.3000000000000007</v>
      </c>
      <c r="G99" s="2">
        <v>68</v>
      </c>
      <c r="H99" s="2" t="s">
        <v>333</v>
      </c>
      <c r="I99" s="2" t="s">
        <v>334</v>
      </c>
      <c r="J99" s="2">
        <v>766870</v>
      </c>
      <c r="K99" s="3">
        <v>3635482</v>
      </c>
      <c r="L99">
        <f t="shared" si="2"/>
        <v>1</v>
      </c>
      <c r="N99">
        <f t="shared" si="3"/>
        <v>0</v>
      </c>
    </row>
    <row r="100" spans="1:14" ht="23.25">
      <c r="A100">
        <v>99</v>
      </c>
      <c r="B100" s="2" t="s">
        <v>335</v>
      </c>
      <c r="C100" s="2">
        <v>1999</v>
      </c>
      <c r="D100" s="2" t="s">
        <v>140</v>
      </c>
      <c r="E100" s="2" t="s">
        <v>17</v>
      </c>
      <c r="F100" s="2">
        <v>8.3000000000000007</v>
      </c>
      <c r="G100" s="2">
        <v>84</v>
      </c>
      <c r="H100" s="2" t="s">
        <v>292</v>
      </c>
      <c r="I100" s="2" t="s">
        <v>168</v>
      </c>
      <c r="J100" s="2">
        <v>1069738</v>
      </c>
      <c r="K100" s="3">
        <v>130096601</v>
      </c>
      <c r="L100">
        <f t="shared" si="2"/>
        <v>1</v>
      </c>
      <c r="N100">
        <f t="shared" si="3"/>
        <v>1</v>
      </c>
    </row>
    <row r="101" spans="1:14" ht="23.25">
      <c r="A101">
        <v>100</v>
      </c>
      <c r="B101" s="2" t="s">
        <v>336</v>
      </c>
      <c r="C101" s="2">
        <v>1997</v>
      </c>
      <c r="D101" s="2" t="s">
        <v>206</v>
      </c>
      <c r="E101" s="2" t="s">
        <v>60</v>
      </c>
      <c r="F101" s="2">
        <v>8.3000000000000007</v>
      </c>
      <c r="G101" s="2">
        <v>70</v>
      </c>
      <c r="H101" s="2" t="s">
        <v>337</v>
      </c>
      <c r="I101" s="2" t="s">
        <v>338</v>
      </c>
      <c r="J101" s="2">
        <v>861606</v>
      </c>
      <c r="K101" s="3">
        <v>138433435</v>
      </c>
      <c r="L101">
        <f t="shared" si="2"/>
        <v>1</v>
      </c>
      <c r="N101">
        <f t="shared" si="3"/>
        <v>1</v>
      </c>
    </row>
    <row r="102" spans="1:14" ht="23.25">
      <c r="A102">
        <v>101</v>
      </c>
      <c r="B102" s="2" t="s">
        <v>339</v>
      </c>
      <c r="C102" s="2">
        <v>1997</v>
      </c>
      <c r="D102" s="2" t="s">
        <v>185</v>
      </c>
      <c r="E102" s="2" t="s">
        <v>60</v>
      </c>
      <c r="F102" s="2">
        <v>8.3000000000000007</v>
      </c>
      <c r="G102" s="2">
        <v>77</v>
      </c>
      <c r="H102" s="2" t="s">
        <v>340</v>
      </c>
      <c r="I102" s="2" t="s">
        <v>341</v>
      </c>
      <c r="J102" s="2">
        <v>65341</v>
      </c>
      <c r="K102" s="3">
        <v>933933</v>
      </c>
      <c r="L102">
        <f t="shared" si="2"/>
        <v>1</v>
      </c>
      <c r="N102">
        <f t="shared" si="3"/>
        <v>0</v>
      </c>
    </row>
    <row r="103" spans="1:14" ht="23.25">
      <c r="A103">
        <v>102</v>
      </c>
      <c r="B103" s="2" t="s">
        <v>342</v>
      </c>
      <c r="C103" s="2">
        <v>1995</v>
      </c>
      <c r="D103" s="2" t="s">
        <v>343</v>
      </c>
      <c r="E103" s="2" t="s">
        <v>110</v>
      </c>
      <c r="F103" s="2">
        <v>8.3000000000000007</v>
      </c>
      <c r="G103" s="2">
        <v>95</v>
      </c>
      <c r="H103" s="2" t="s">
        <v>344</v>
      </c>
      <c r="I103" s="2" t="s">
        <v>62</v>
      </c>
      <c r="J103" s="2">
        <v>887429</v>
      </c>
      <c r="K103" s="3">
        <v>191796233</v>
      </c>
      <c r="L103">
        <f t="shared" si="2"/>
        <v>1</v>
      </c>
      <c r="N103">
        <f t="shared" si="3"/>
        <v>1</v>
      </c>
    </row>
    <row r="104" spans="1:14" ht="14.25">
      <c r="A104">
        <v>103</v>
      </c>
      <c r="B104" s="2" t="s">
        <v>345</v>
      </c>
      <c r="C104" s="2">
        <v>1995</v>
      </c>
      <c r="D104" s="2" t="s">
        <v>58</v>
      </c>
      <c r="E104" s="2" t="s">
        <v>47</v>
      </c>
      <c r="F104" s="2">
        <v>8.3000000000000007</v>
      </c>
      <c r="G104" s="2">
        <v>68</v>
      </c>
      <c r="H104" s="2" t="s">
        <v>346</v>
      </c>
      <c r="I104" s="2" t="s">
        <v>346</v>
      </c>
      <c r="J104" s="2">
        <v>959181</v>
      </c>
      <c r="K104" s="3">
        <v>75600000</v>
      </c>
      <c r="L104">
        <f t="shared" si="2"/>
        <v>1</v>
      </c>
      <c r="N104">
        <f t="shared" si="3"/>
        <v>1</v>
      </c>
    </row>
    <row r="105" spans="1:14" ht="23.25">
      <c r="A105">
        <v>104</v>
      </c>
      <c r="B105" s="2" t="s">
        <v>347</v>
      </c>
      <c r="C105" s="2">
        <v>1992</v>
      </c>
      <c r="D105" s="2" t="s">
        <v>348</v>
      </c>
      <c r="E105" s="2" t="s">
        <v>22</v>
      </c>
      <c r="F105" s="2">
        <v>8.3000000000000007</v>
      </c>
      <c r="G105" s="2">
        <v>79</v>
      </c>
      <c r="H105" s="2" t="s">
        <v>43</v>
      </c>
      <c r="I105" s="2" t="s">
        <v>349</v>
      </c>
      <c r="J105" s="2">
        <v>918562</v>
      </c>
      <c r="K105" s="3">
        <v>2832029</v>
      </c>
      <c r="L105">
        <f t="shared" si="2"/>
        <v>1</v>
      </c>
      <c r="N105">
        <f t="shared" si="3"/>
        <v>0</v>
      </c>
    </row>
    <row r="106" spans="1:14" ht="23.25">
      <c r="A106">
        <v>105</v>
      </c>
      <c r="B106" s="2" t="s">
        <v>350</v>
      </c>
      <c r="C106" s="2">
        <v>1987</v>
      </c>
      <c r="D106" s="2" t="s">
        <v>117</v>
      </c>
      <c r="E106" s="2" t="s">
        <v>60</v>
      </c>
      <c r="F106" s="2">
        <v>8.3000000000000007</v>
      </c>
      <c r="G106" s="2">
        <v>76</v>
      </c>
      <c r="H106" s="2" t="s">
        <v>269</v>
      </c>
      <c r="I106" s="2" t="s">
        <v>351</v>
      </c>
      <c r="J106" s="2">
        <v>675146</v>
      </c>
      <c r="K106" s="3">
        <v>46357676</v>
      </c>
      <c r="L106">
        <f t="shared" si="2"/>
        <v>1</v>
      </c>
      <c r="N106">
        <f t="shared" si="3"/>
        <v>0</v>
      </c>
    </row>
    <row r="107" spans="1:14" ht="25.5">
      <c r="A107">
        <v>106</v>
      </c>
      <c r="B107" s="2" t="s">
        <v>352</v>
      </c>
      <c r="C107" s="2">
        <v>1985</v>
      </c>
      <c r="D107" s="2" t="s">
        <v>16</v>
      </c>
      <c r="E107" s="2" t="s">
        <v>60</v>
      </c>
      <c r="F107" s="2">
        <v>8.3000000000000007</v>
      </c>
      <c r="G107" s="4" t="s">
        <v>90</v>
      </c>
      <c r="H107" s="2" t="s">
        <v>353</v>
      </c>
      <c r="I107" s="2" t="s">
        <v>354</v>
      </c>
      <c r="J107" s="2">
        <v>59056</v>
      </c>
      <c r="K107" s="4" t="s">
        <v>90</v>
      </c>
      <c r="L107">
        <f t="shared" si="2"/>
        <v>1</v>
      </c>
      <c r="N107">
        <f t="shared" si="3"/>
        <v>1</v>
      </c>
    </row>
    <row r="108" spans="1:14" ht="23.25">
      <c r="A108">
        <v>107</v>
      </c>
      <c r="B108" s="2" t="s">
        <v>355</v>
      </c>
      <c r="C108" s="2">
        <v>1986</v>
      </c>
      <c r="D108" s="2" t="s">
        <v>178</v>
      </c>
      <c r="E108" s="2" t="s">
        <v>27</v>
      </c>
      <c r="F108" s="2">
        <v>8.3000000000000007</v>
      </c>
      <c r="G108" s="2">
        <v>84</v>
      </c>
      <c r="H108" s="2" t="s">
        <v>179</v>
      </c>
      <c r="I108" s="2" t="s">
        <v>273</v>
      </c>
      <c r="J108" s="2">
        <v>652719</v>
      </c>
      <c r="K108" s="3">
        <v>85160248</v>
      </c>
      <c r="L108">
        <f t="shared" si="2"/>
        <v>1</v>
      </c>
      <c r="N108">
        <f t="shared" si="3"/>
        <v>1</v>
      </c>
    </row>
    <row r="109" spans="1:14" ht="23.25">
      <c r="A109">
        <v>108</v>
      </c>
      <c r="B109" s="2" t="s">
        <v>356</v>
      </c>
      <c r="C109" s="2">
        <v>1984</v>
      </c>
      <c r="D109" s="2" t="s">
        <v>87</v>
      </c>
      <c r="E109" s="2" t="s">
        <v>47</v>
      </c>
      <c r="F109" s="2">
        <v>8.3000000000000007</v>
      </c>
      <c r="G109" s="2">
        <v>88</v>
      </c>
      <c r="H109" s="2" t="s">
        <v>84</v>
      </c>
      <c r="I109" s="2" t="s">
        <v>357</v>
      </c>
      <c r="J109" s="2">
        <v>369007</v>
      </c>
      <c r="K109" s="3">
        <v>51973029</v>
      </c>
      <c r="L109">
        <f t="shared" si="2"/>
        <v>1</v>
      </c>
      <c r="N109">
        <f t="shared" si="3"/>
        <v>1</v>
      </c>
    </row>
    <row r="110" spans="1:14" ht="23.25">
      <c r="A110">
        <v>109</v>
      </c>
      <c r="B110" s="2" t="s">
        <v>358</v>
      </c>
      <c r="C110" s="2">
        <v>1983</v>
      </c>
      <c r="D110" s="2" t="s">
        <v>241</v>
      </c>
      <c r="E110" s="2" t="s">
        <v>22</v>
      </c>
      <c r="F110" s="2">
        <v>8.3000000000000007</v>
      </c>
      <c r="G110" s="2">
        <v>65</v>
      </c>
      <c r="H110" s="2" t="s">
        <v>359</v>
      </c>
      <c r="I110" s="2" t="s">
        <v>32</v>
      </c>
      <c r="J110" s="2">
        <v>740911</v>
      </c>
      <c r="K110" s="3">
        <v>45598982</v>
      </c>
      <c r="L110">
        <f t="shared" si="2"/>
        <v>1</v>
      </c>
      <c r="N110">
        <f t="shared" si="3"/>
        <v>0</v>
      </c>
    </row>
    <row r="111" spans="1:14" ht="47.25">
      <c r="A111">
        <v>110</v>
      </c>
      <c r="B111" s="2" t="s">
        <v>360</v>
      </c>
      <c r="C111" s="2">
        <v>1983</v>
      </c>
      <c r="D111" s="2" t="s">
        <v>312</v>
      </c>
      <c r="E111" s="2" t="s">
        <v>27</v>
      </c>
      <c r="F111" s="2">
        <v>8.3000000000000007</v>
      </c>
      <c r="G111" s="2">
        <v>58</v>
      </c>
      <c r="H111" s="2" t="s">
        <v>361</v>
      </c>
      <c r="I111" s="2" t="s">
        <v>81</v>
      </c>
      <c r="J111" s="2">
        <v>950470</v>
      </c>
      <c r="K111" s="3">
        <v>309125409</v>
      </c>
      <c r="L111">
        <f t="shared" si="2"/>
        <v>1</v>
      </c>
      <c r="N111">
        <f t="shared" si="3"/>
        <v>1</v>
      </c>
    </row>
    <row r="112" spans="1:14" ht="23.25">
      <c r="A112">
        <v>111</v>
      </c>
      <c r="B112" s="2" t="s">
        <v>362</v>
      </c>
      <c r="C112" s="2">
        <v>1981</v>
      </c>
      <c r="D112" s="2" t="s">
        <v>231</v>
      </c>
      <c r="E112" s="2" t="s">
        <v>102</v>
      </c>
      <c r="F112" s="2">
        <v>8.3000000000000007</v>
      </c>
      <c r="G112" s="2">
        <v>86</v>
      </c>
      <c r="H112" s="2" t="s">
        <v>363</v>
      </c>
      <c r="I112" s="2" t="s">
        <v>364</v>
      </c>
      <c r="J112" s="2">
        <v>231855</v>
      </c>
      <c r="K112" s="3">
        <v>11487676</v>
      </c>
      <c r="L112">
        <f t="shared" si="2"/>
        <v>1</v>
      </c>
      <c r="N112">
        <f t="shared" si="3"/>
        <v>0</v>
      </c>
    </row>
    <row r="113" spans="1:14" ht="23.25">
      <c r="A113">
        <v>112</v>
      </c>
      <c r="B113" s="2" t="s">
        <v>365</v>
      </c>
      <c r="C113" s="2">
        <v>1976</v>
      </c>
      <c r="D113" s="2" t="s">
        <v>366</v>
      </c>
      <c r="E113" s="2" t="s">
        <v>22</v>
      </c>
      <c r="F113" s="2">
        <v>8.3000000000000007</v>
      </c>
      <c r="G113" s="2">
        <v>94</v>
      </c>
      <c r="H113" s="2" t="s">
        <v>76</v>
      </c>
      <c r="I113" s="2" t="s">
        <v>77</v>
      </c>
      <c r="J113" s="2">
        <v>724636</v>
      </c>
      <c r="K113" s="3">
        <v>28262574</v>
      </c>
      <c r="L113">
        <f t="shared" si="2"/>
        <v>1</v>
      </c>
      <c r="N113">
        <f t="shared" si="3"/>
        <v>0</v>
      </c>
    </row>
    <row r="114" spans="1:14" ht="23.25">
      <c r="A114">
        <v>113</v>
      </c>
      <c r="B114" s="2" t="s">
        <v>367</v>
      </c>
      <c r="C114" s="2">
        <v>1973</v>
      </c>
      <c r="D114" s="2" t="s">
        <v>368</v>
      </c>
      <c r="E114" s="2" t="s">
        <v>93</v>
      </c>
      <c r="F114" s="2">
        <v>8.3000000000000007</v>
      </c>
      <c r="G114" s="2">
        <v>83</v>
      </c>
      <c r="H114" s="2" t="s">
        <v>369</v>
      </c>
      <c r="I114" s="2" t="s">
        <v>370</v>
      </c>
      <c r="J114" s="2">
        <v>241513</v>
      </c>
      <c r="K114" s="3">
        <v>159600000</v>
      </c>
      <c r="L114">
        <f t="shared" si="2"/>
        <v>1</v>
      </c>
      <c r="N114">
        <f t="shared" si="3"/>
        <v>1</v>
      </c>
    </row>
    <row r="115" spans="1:14" ht="23.25">
      <c r="A115">
        <v>114</v>
      </c>
      <c r="B115" s="2" t="s">
        <v>371</v>
      </c>
      <c r="C115" s="2">
        <v>1971</v>
      </c>
      <c r="D115" s="2" t="s">
        <v>71</v>
      </c>
      <c r="E115" s="2" t="s">
        <v>22</v>
      </c>
      <c r="F115" s="2">
        <v>8.3000000000000007</v>
      </c>
      <c r="G115" s="2">
        <v>77</v>
      </c>
      <c r="H115" s="2" t="s">
        <v>269</v>
      </c>
      <c r="I115" s="2" t="s">
        <v>372</v>
      </c>
      <c r="J115" s="2">
        <v>757904</v>
      </c>
      <c r="K115" s="3">
        <v>6207725</v>
      </c>
      <c r="L115">
        <f t="shared" si="2"/>
        <v>1</v>
      </c>
      <c r="N115">
        <f t="shared" si="3"/>
        <v>0</v>
      </c>
    </row>
    <row r="116" spans="1:14" ht="23.25">
      <c r="A116">
        <v>115</v>
      </c>
      <c r="B116" s="2" t="s">
        <v>373</v>
      </c>
      <c r="C116" s="2">
        <v>1968</v>
      </c>
      <c r="D116" s="2" t="s">
        <v>231</v>
      </c>
      <c r="E116" s="2" t="s">
        <v>102</v>
      </c>
      <c r="F116" s="2">
        <v>8.3000000000000007</v>
      </c>
      <c r="G116" s="2">
        <v>84</v>
      </c>
      <c r="H116" s="2" t="s">
        <v>269</v>
      </c>
      <c r="I116" s="2" t="s">
        <v>374</v>
      </c>
      <c r="J116" s="2">
        <v>603517</v>
      </c>
      <c r="K116" s="3">
        <v>56954992</v>
      </c>
      <c r="L116">
        <f t="shared" si="2"/>
        <v>1</v>
      </c>
      <c r="N116">
        <f t="shared" si="3"/>
        <v>1</v>
      </c>
    </row>
    <row r="117" spans="1:14" ht="23.25">
      <c r="A117">
        <v>116</v>
      </c>
      <c r="B117" s="2" t="s">
        <v>375</v>
      </c>
      <c r="C117" s="2">
        <v>1965</v>
      </c>
      <c r="D117" s="2" t="s">
        <v>92</v>
      </c>
      <c r="E117" s="2" t="s">
        <v>65</v>
      </c>
      <c r="F117" s="2">
        <v>8.3000000000000007</v>
      </c>
      <c r="G117" s="2">
        <v>74</v>
      </c>
      <c r="H117" s="2" t="s">
        <v>66</v>
      </c>
      <c r="I117" s="2" t="s">
        <v>67</v>
      </c>
      <c r="J117" s="2">
        <v>232772</v>
      </c>
      <c r="K117" s="3">
        <v>15000000</v>
      </c>
      <c r="L117">
        <f t="shared" si="2"/>
        <v>1</v>
      </c>
      <c r="N117">
        <f t="shared" si="3"/>
        <v>0</v>
      </c>
    </row>
    <row r="118" spans="1:14" ht="23.25">
      <c r="A118">
        <v>117</v>
      </c>
      <c r="B118" s="2" t="s">
        <v>376</v>
      </c>
      <c r="C118" s="2">
        <v>1962</v>
      </c>
      <c r="D118" s="2" t="s">
        <v>377</v>
      </c>
      <c r="E118" s="2" t="s">
        <v>102</v>
      </c>
      <c r="F118" s="2">
        <v>8.3000000000000007</v>
      </c>
      <c r="G118" s="2">
        <v>100</v>
      </c>
      <c r="H118" s="2" t="s">
        <v>378</v>
      </c>
      <c r="I118" s="2" t="s">
        <v>379</v>
      </c>
      <c r="J118" s="2">
        <v>268085</v>
      </c>
      <c r="K118" s="3">
        <v>44824144</v>
      </c>
      <c r="L118">
        <f t="shared" si="2"/>
        <v>1</v>
      </c>
      <c r="N118">
        <f t="shared" si="3"/>
        <v>0</v>
      </c>
    </row>
    <row r="119" spans="1:14" ht="23.25">
      <c r="A119">
        <v>118</v>
      </c>
      <c r="B119" s="2" t="s">
        <v>380</v>
      </c>
      <c r="C119" s="2">
        <v>1960</v>
      </c>
      <c r="D119" s="2" t="s">
        <v>109</v>
      </c>
      <c r="E119" s="2" t="s">
        <v>93</v>
      </c>
      <c r="F119" s="2">
        <v>8.3000000000000007</v>
      </c>
      <c r="G119" s="2">
        <v>94</v>
      </c>
      <c r="H119" s="2" t="s">
        <v>284</v>
      </c>
      <c r="I119" s="2" t="s">
        <v>381</v>
      </c>
      <c r="J119" s="2">
        <v>164363</v>
      </c>
      <c r="K119" s="3">
        <v>18600000</v>
      </c>
      <c r="L119">
        <f t="shared" si="2"/>
        <v>1</v>
      </c>
      <c r="N119">
        <f t="shared" si="3"/>
        <v>0</v>
      </c>
    </row>
    <row r="120" spans="1:14" ht="23.25">
      <c r="A120">
        <v>119</v>
      </c>
      <c r="B120" s="2" t="s">
        <v>382</v>
      </c>
      <c r="C120" s="2">
        <v>1959</v>
      </c>
      <c r="D120" s="2" t="s">
        <v>71</v>
      </c>
      <c r="E120" s="2" t="s">
        <v>102</v>
      </c>
      <c r="F120" s="2">
        <v>8.3000000000000007</v>
      </c>
      <c r="G120" s="2">
        <v>98</v>
      </c>
      <c r="H120" s="2" t="s">
        <v>195</v>
      </c>
      <c r="I120" s="2" t="s">
        <v>383</v>
      </c>
      <c r="J120" s="2">
        <v>299198</v>
      </c>
      <c r="K120" s="3">
        <v>13275000</v>
      </c>
      <c r="L120">
        <f t="shared" si="2"/>
        <v>1</v>
      </c>
      <c r="N120">
        <f t="shared" si="3"/>
        <v>0</v>
      </c>
    </row>
    <row r="121" spans="1:14" ht="23.25">
      <c r="A121">
        <v>120</v>
      </c>
      <c r="B121" s="2" t="s">
        <v>384</v>
      </c>
      <c r="C121" s="2">
        <v>1958</v>
      </c>
      <c r="D121" s="2" t="s">
        <v>385</v>
      </c>
      <c r="E121" s="2" t="s">
        <v>258</v>
      </c>
      <c r="F121" s="2">
        <v>8.3000000000000007</v>
      </c>
      <c r="G121" s="2">
        <v>100</v>
      </c>
      <c r="H121" s="2" t="s">
        <v>195</v>
      </c>
      <c r="I121" s="2" t="s">
        <v>138</v>
      </c>
      <c r="J121" s="2">
        <v>364368</v>
      </c>
      <c r="K121" s="3">
        <v>3200000</v>
      </c>
      <c r="L121">
        <f t="shared" si="2"/>
        <v>1</v>
      </c>
      <c r="N121">
        <f t="shared" si="3"/>
        <v>0</v>
      </c>
    </row>
    <row r="122" spans="1:14" ht="23.25">
      <c r="A122">
        <v>121</v>
      </c>
      <c r="B122" s="2" t="s">
        <v>386</v>
      </c>
      <c r="C122" s="2">
        <v>1952</v>
      </c>
      <c r="D122" s="2" t="s">
        <v>387</v>
      </c>
      <c r="E122" s="2" t="s">
        <v>93</v>
      </c>
      <c r="F122" s="2">
        <v>8.3000000000000007</v>
      </c>
      <c r="G122" s="2">
        <v>99</v>
      </c>
      <c r="H122" s="2" t="s">
        <v>388</v>
      </c>
      <c r="I122" s="2" t="s">
        <v>389</v>
      </c>
      <c r="J122" s="2">
        <v>218957</v>
      </c>
      <c r="K122" s="3">
        <v>8819028</v>
      </c>
      <c r="L122">
        <f t="shared" si="2"/>
        <v>1</v>
      </c>
      <c r="N122">
        <f t="shared" si="3"/>
        <v>0</v>
      </c>
    </row>
    <row r="123" spans="1:14" ht="25.5">
      <c r="A123">
        <v>122</v>
      </c>
      <c r="B123" s="2" t="s">
        <v>390</v>
      </c>
      <c r="C123" s="2">
        <v>1952</v>
      </c>
      <c r="D123" s="2" t="s">
        <v>278</v>
      </c>
      <c r="E123" s="2" t="s">
        <v>17</v>
      </c>
      <c r="F123" s="2">
        <v>8.3000000000000007</v>
      </c>
      <c r="G123" s="4" t="s">
        <v>90</v>
      </c>
      <c r="H123" s="2" t="s">
        <v>134</v>
      </c>
      <c r="I123" s="2" t="s">
        <v>391</v>
      </c>
      <c r="J123" s="2">
        <v>68463</v>
      </c>
      <c r="K123" s="3">
        <v>55240</v>
      </c>
      <c r="L123">
        <f t="shared" si="2"/>
        <v>1</v>
      </c>
      <c r="N123">
        <f t="shared" si="3"/>
        <v>0</v>
      </c>
    </row>
    <row r="124" spans="1:14" ht="25.5">
      <c r="A124">
        <v>123</v>
      </c>
      <c r="B124" s="2" t="s">
        <v>392</v>
      </c>
      <c r="C124" s="2">
        <v>1948</v>
      </c>
      <c r="D124" s="2" t="s">
        <v>185</v>
      </c>
      <c r="E124" s="2" t="s">
        <v>17</v>
      </c>
      <c r="F124" s="2">
        <v>8.3000000000000007</v>
      </c>
      <c r="G124" s="4" t="s">
        <v>90</v>
      </c>
      <c r="H124" s="2" t="s">
        <v>393</v>
      </c>
      <c r="I124" s="2" t="s">
        <v>394</v>
      </c>
      <c r="J124" s="2">
        <v>146427</v>
      </c>
      <c r="K124" s="3">
        <v>332930</v>
      </c>
      <c r="L124">
        <f t="shared" si="2"/>
        <v>1</v>
      </c>
      <c r="N124">
        <f t="shared" si="3"/>
        <v>0</v>
      </c>
    </row>
    <row r="125" spans="1:14" ht="23.25">
      <c r="A125">
        <v>124</v>
      </c>
      <c r="B125" s="2" t="s">
        <v>395</v>
      </c>
      <c r="C125" s="2">
        <v>1944</v>
      </c>
      <c r="D125" s="2" t="s">
        <v>396</v>
      </c>
      <c r="E125" s="2" t="s">
        <v>22</v>
      </c>
      <c r="F125" s="2">
        <v>8.3000000000000007</v>
      </c>
      <c r="G125" s="2">
        <v>95</v>
      </c>
      <c r="H125" s="2" t="s">
        <v>284</v>
      </c>
      <c r="I125" s="2" t="s">
        <v>397</v>
      </c>
      <c r="J125" s="2">
        <v>143525</v>
      </c>
      <c r="K125" s="3">
        <v>5720000</v>
      </c>
      <c r="L125">
        <f t="shared" si="2"/>
        <v>1</v>
      </c>
      <c r="N125">
        <f t="shared" si="3"/>
        <v>0</v>
      </c>
    </row>
    <row r="126" spans="1:14" ht="23.25">
      <c r="A126">
        <v>125</v>
      </c>
      <c r="B126" s="2" t="s">
        <v>398</v>
      </c>
      <c r="C126" s="2">
        <v>1941</v>
      </c>
      <c r="D126" s="2" t="s">
        <v>163</v>
      </c>
      <c r="E126" s="2" t="s">
        <v>60</v>
      </c>
      <c r="F126" s="2">
        <v>8.3000000000000007</v>
      </c>
      <c r="G126" s="2">
        <v>100</v>
      </c>
      <c r="H126" s="2" t="s">
        <v>399</v>
      </c>
      <c r="I126" s="2" t="s">
        <v>399</v>
      </c>
      <c r="J126" s="2">
        <v>403351</v>
      </c>
      <c r="K126" s="3">
        <v>1585634</v>
      </c>
      <c r="L126">
        <f t="shared" si="2"/>
        <v>1</v>
      </c>
      <c r="N126">
        <f t="shared" si="3"/>
        <v>0</v>
      </c>
    </row>
    <row r="127" spans="1:14" ht="35.25">
      <c r="A127">
        <v>126</v>
      </c>
      <c r="B127" s="2" t="s">
        <v>400</v>
      </c>
      <c r="C127" s="2">
        <v>1931</v>
      </c>
      <c r="D127" s="2" t="s">
        <v>223</v>
      </c>
      <c r="E127" s="2" t="s">
        <v>22</v>
      </c>
      <c r="F127" s="2">
        <v>8.3000000000000007</v>
      </c>
      <c r="G127" s="4" t="s">
        <v>90</v>
      </c>
      <c r="H127" s="2" t="s">
        <v>401</v>
      </c>
      <c r="I127" s="2" t="s">
        <v>402</v>
      </c>
      <c r="J127" s="2">
        <v>143434</v>
      </c>
      <c r="K127" s="3">
        <v>28877</v>
      </c>
      <c r="L127">
        <f t="shared" si="2"/>
        <v>1</v>
      </c>
      <c r="N127">
        <f t="shared" si="3"/>
        <v>0</v>
      </c>
    </row>
    <row r="128" spans="1:14" ht="23.25">
      <c r="A128">
        <v>127</v>
      </c>
      <c r="B128" s="2" t="s">
        <v>403</v>
      </c>
      <c r="C128" s="2">
        <v>1927</v>
      </c>
      <c r="D128" s="2" t="s">
        <v>97</v>
      </c>
      <c r="E128" s="2" t="s">
        <v>60</v>
      </c>
      <c r="F128" s="2">
        <v>8.3000000000000007</v>
      </c>
      <c r="G128" s="2">
        <v>98</v>
      </c>
      <c r="H128" s="2" t="s">
        <v>401</v>
      </c>
      <c r="I128" s="2" t="s">
        <v>404</v>
      </c>
      <c r="J128" s="2">
        <v>159992</v>
      </c>
      <c r="K128" s="3">
        <v>1236166</v>
      </c>
      <c r="L128">
        <f t="shared" si="2"/>
        <v>1</v>
      </c>
      <c r="N128">
        <f t="shared" si="3"/>
        <v>0</v>
      </c>
    </row>
    <row r="129" spans="1:14" ht="25.5">
      <c r="A129">
        <v>128</v>
      </c>
      <c r="B129" s="2" t="s">
        <v>405</v>
      </c>
      <c r="C129" s="2">
        <v>1921</v>
      </c>
      <c r="D129" s="2" t="s">
        <v>406</v>
      </c>
      <c r="E129" s="2" t="s">
        <v>93</v>
      </c>
      <c r="F129" s="2">
        <v>8.3000000000000007</v>
      </c>
      <c r="G129" s="4" t="s">
        <v>90</v>
      </c>
      <c r="H129" s="2" t="s">
        <v>203</v>
      </c>
      <c r="I129" s="2" t="s">
        <v>203</v>
      </c>
      <c r="J129" s="2">
        <v>113314</v>
      </c>
      <c r="K129" s="3">
        <v>5450000</v>
      </c>
      <c r="L129">
        <f t="shared" si="2"/>
        <v>1</v>
      </c>
      <c r="N129">
        <f t="shared" si="3"/>
        <v>0</v>
      </c>
    </row>
    <row r="130" spans="1:14" ht="35.25">
      <c r="A130">
        <v>129</v>
      </c>
      <c r="B130" s="2" t="s">
        <v>407</v>
      </c>
      <c r="C130" s="2">
        <v>2019</v>
      </c>
      <c r="D130" s="2" t="s">
        <v>278</v>
      </c>
      <c r="E130" s="2" t="s">
        <v>93</v>
      </c>
      <c r="F130" s="2">
        <v>8.1999999999999993</v>
      </c>
      <c r="G130" s="4" t="s">
        <v>90</v>
      </c>
      <c r="H130" s="2" t="s">
        <v>220</v>
      </c>
      <c r="I130" s="2" t="s">
        <v>408</v>
      </c>
      <c r="J130" s="2">
        <v>33893</v>
      </c>
      <c r="K130" s="3">
        <v>898575</v>
      </c>
      <c r="L130">
        <f t="shared" si="2"/>
        <v>1</v>
      </c>
      <c r="N130">
        <f t="shared" si="3"/>
        <v>0</v>
      </c>
    </row>
    <row r="131" spans="1:14" ht="25.5">
      <c r="A131">
        <v>130</v>
      </c>
      <c r="B131" s="2" t="s">
        <v>409</v>
      </c>
      <c r="C131" s="2">
        <v>2018</v>
      </c>
      <c r="D131" s="2" t="s">
        <v>410</v>
      </c>
      <c r="E131" s="2" t="s">
        <v>27</v>
      </c>
      <c r="F131" s="2">
        <v>8.1999999999999993</v>
      </c>
      <c r="G131" s="4" t="s">
        <v>90</v>
      </c>
      <c r="H131" s="2" t="s">
        <v>411</v>
      </c>
      <c r="I131" s="2" t="s">
        <v>412</v>
      </c>
      <c r="J131" s="2">
        <v>43444</v>
      </c>
      <c r="K131" s="3">
        <v>4186168</v>
      </c>
      <c r="L131">
        <f t="shared" ref="L131:L194" si="4">IF(AND(F131&gt;=8.2, G131&gt;8.2), 1, 0)</f>
        <v>1</v>
      </c>
      <c r="N131">
        <f t="shared" ref="N131:N194" si="5">IF(K131&gt;=50000000, 1, 0)</f>
        <v>0</v>
      </c>
    </row>
    <row r="132" spans="1:14" ht="25.5">
      <c r="A132">
        <v>131</v>
      </c>
      <c r="B132" s="2" t="s">
        <v>413</v>
      </c>
      <c r="C132" s="2">
        <v>2018</v>
      </c>
      <c r="D132" s="2" t="s">
        <v>414</v>
      </c>
      <c r="E132" s="2" t="s">
        <v>27</v>
      </c>
      <c r="F132" s="2">
        <v>8.1999999999999993</v>
      </c>
      <c r="G132" s="4" t="s">
        <v>90</v>
      </c>
      <c r="H132" s="2" t="s">
        <v>415</v>
      </c>
      <c r="I132" s="2" t="s">
        <v>416</v>
      </c>
      <c r="J132" s="2">
        <v>36680</v>
      </c>
      <c r="K132" s="4" t="s">
        <v>90</v>
      </c>
      <c r="L132">
        <f t="shared" si="4"/>
        <v>1</v>
      </c>
      <c r="N132">
        <f t="shared" si="5"/>
        <v>1</v>
      </c>
    </row>
    <row r="133" spans="1:14" ht="23.25">
      <c r="A133">
        <v>132</v>
      </c>
      <c r="B133" s="2" t="s">
        <v>417</v>
      </c>
      <c r="C133" s="2">
        <v>2018</v>
      </c>
      <c r="D133" s="2" t="s">
        <v>105</v>
      </c>
      <c r="E133" s="2" t="s">
        <v>47</v>
      </c>
      <c r="F133" s="2">
        <v>8.1999999999999993</v>
      </c>
      <c r="G133" s="2">
        <v>69</v>
      </c>
      <c r="H133" s="2" t="s">
        <v>418</v>
      </c>
      <c r="I133" s="2" t="s">
        <v>419</v>
      </c>
      <c r="J133" s="2">
        <v>377884</v>
      </c>
      <c r="K133" s="3">
        <v>85080171</v>
      </c>
      <c r="L133">
        <f t="shared" si="4"/>
        <v>1</v>
      </c>
      <c r="N133">
        <f t="shared" si="5"/>
        <v>1</v>
      </c>
    </row>
    <row r="134" spans="1:14" ht="35.25">
      <c r="A134">
        <v>133</v>
      </c>
      <c r="B134" s="2" t="s">
        <v>420</v>
      </c>
      <c r="C134" s="2">
        <v>2017</v>
      </c>
      <c r="D134" s="2" t="s">
        <v>266</v>
      </c>
      <c r="E134" s="2" t="s">
        <v>93</v>
      </c>
      <c r="F134" s="2">
        <v>8.1999999999999993</v>
      </c>
      <c r="G134" s="2">
        <v>88</v>
      </c>
      <c r="H134" s="2" t="s">
        <v>421</v>
      </c>
      <c r="I134" s="2" t="s">
        <v>422</v>
      </c>
      <c r="J134" s="2">
        <v>432610</v>
      </c>
      <c r="K134" s="3">
        <v>54513740</v>
      </c>
      <c r="L134">
        <f t="shared" si="4"/>
        <v>1</v>
      </c>
      <c r="N134">
        <f t="shared" si="5"/>
        <v>1</v>
      </c>
    </row>
    <row r="135" spans="1:14" ht="25.5">
      <c r="A135">
        <v>134</v>
      </c>
      <c r="B135" s="2" t="s">
        <v>423</v>
      </c>
      <c r="C135" s="2">
        <v>2015</v>
      </c>
      <c r="D135" s="2" t="s">
        <v>92</v>
      </c>
      <c r="E135" s="2" t="s">
        <v>22</v>
      </c>
      <c r="F135" s="2">
        <v>8.1999999999999993</v>
      </c>
      <c r="G135" s="4" t="s">
        <v>90</v>
      </c>
      <c r="H135" s="2" t="s">
        <v>424</v>
      </c>
      <c r="I135" s="2" t="s">
        <v>425</v>
      </c>
      <c r="J135" s="2">
        <v>31142</v>
      </c>
      <c r="K135" s="3">
        <v>342370</v>
      </c>
      <c r="L135">
        <f t="shared" si="4"/>
        <v>1</v>
      </c>
      <c r="N135">
        <f t="shared" si="5"/>
        <v>0</v>
      </c>
    </row>
    <row r="136" spans="1:14" ht="25.5">
      <c r="A136">
        <v>135</v>
      </c>
      <c r="B136" s="2" t="s">
        <v>426</v>
      </c>
      <c r="C136" s="2">
        <v>2017</v>
      </c>
      <c r="D136" s="2" t="s">
        <v>427</v>
      </c>
      <c r="E136" s="2" t="s">
        <v>27</v>
      </c>
      <c r="F136" s="2">
        <v>8.1999999999999993</v>
      </c>
      <c r="G136" s="4" t="s">
        <v>90</v>
      </c>
      <c r="H136" s="2" t="s">
        <v>428</v>
      </c>
      <c r="I136" s="2" t="s">
        <v>429</v>
      </c>
      <c r="J136" s="2">
        <v>75348</v>
      </c>
      <c r="K136" s="3">
        <v>20186659</v>
      </c>
      <c r="L136">
        <f t="shared" si="4"/>
        <v>1</v>
      </c>
      <c r="N136">
        <f t="shared" si="5"/>
        <v>0</v>
      </c>
    </row>
    <row r="137" spans="1:14" ht="35.25">
      <c r="A137">
        <v>136</v>
      </c>
      <c r="B137" s="2" t="s">
        <v>430</v>
      </c>
      <c r="C137" s="2">
        <v>2019</v>
      </c>
      <c r="D137" s="2" t="s">
        <v>34</v>
      </c>
      <c r="E137" s="2" t="s">
        <v>110</v>
      </c>
      <c r="F137" s="2">
        <v>8.1999999999999993</v>
      </c>
      <c r="G137" s="2">
        <v>65</v>
      </c>
      <c r="H137" s="2" t="s">
        <v>431</v>
      </c>
      <c r="I137" s="2" t="s">
        <v>432</v>
      </c>
      <c r="J137" s="2">
        <v>104761</v>
      </c>
      <c r="K137" s="4" t="s">
        <v>90</v>
      </c>
      <c r="L137">
        <f t="shared" si="4"/>
        <v>1</v>
      </c>
      <c r="N137">
        <f t="shared" si="5"/>
        <v>1</v>
      </c>
    </row>
    <row r="138" spans="1:14" ht="25.5">
      <c r="A138">
        <v>137</v>
      </c>
      <c r="B138" s="2" t="s">
        <v>301</v>
      </c>
      <c r="C138" s="2">
        <v>2015</v>
      </c>
      <c r="D138" s="2" t="s">
        <v>433</v>
      </c>
      <c r="E138" s="2" t="s">
        <v>22</v>
      </c>
      <c r="F138" s="2">
        <v>8.1999999999999993</v>
      </c>
      <c r="G138" s="4" t="s">
        <v>90</v>
      </c>
      <c r="H138" s="2" t="s">
        <v>434</v>
      </c>
      <c r="I138" s="2" t="s">
        <v>435</v>
      </c>
      <c r="J138" s="2">
        <v>70367</v>
      </c>
      <c r="K138" s="3">
        <v>739478</v>
      </c>
      <c r="L138">
        <f t="shared" si="4"/>
        <v>1</v>
      </c>
      <c r="N138">
        <f t="shared" si="5"/>
        <v>0</v>
      </c>
    </row>
    <row r="139" spans="1:14" ht="25.5">
      <c r="A139">
        <v>138</v>
      </c>
      <c r="B139" s="2" t="s">
        <v>436</v>
      </c>
      <c r="C139" s="2">
        <v>2013</v>
      </c>
      <c r="D139" s="2" t="s">
        <v>75</v>
      </c>
      <c r="E139" s="2" t="s">
        <v>102</v>
      </c>
      <c r="F139" s="2">
        <v>8.1999999999999993</v>
      </c>
      <c r="G139" s="4" t="s">
        <v>90</v>
      </c>
      <c r="H139" s="2" t="s">
        <v>437</v>
      </c>
      <c r="I139" s="2" t="s">
        <v>438</v>
      </c>
      <c r="J139" s="2">
        <v>60701</v>
      </c>
      <c r="K139" s="3">
        <v>1429534</v>
      </c>
      <c r="L139">
        <f t="shared" si="4"/>
        <v>1</v>
      </c>
      <c r="N139">
        <f t="shared" si="5"/>
        <v>0</v>
      </c>
    </row>
    <row r="140" spans="1:14" ht="23.25">
      <c r="A140">
        <v>139</v>
      </c>
      <c r="B140" s="2" t="s">
        <v>439</v>
      </c>
      <c r="C140" s="2">
        <v>2013</v>
      </c>
      <c r="D140" s="2" t="s">
        <v>202</v>
      </c>
      <c r="E140" s="2" t="s">
        <v>60</v>
      </c>
      <c r="F140" s="2">
        <v>8.1999999999999993</v>
      </c>
      <c r="G140" s="2">
        <v>73</v>
      </c>
      <c r="H140" s="2" t="s">
        <v>440</v>
      </c>
      <c r="I140" s="2" t="s">
        <v>441</v>
      </c>
      <c r="J140" s="2">
        <v>40382</v>
      </c>
      <c r="K140" s="3">
        <v>144501</v>
      </c>
      <c r="L140">
        <f t="shared" si="4"/>
        <v>1</v>
      </c>
      <c r="N140">
        <f t="shared" si="5"/>
        <v>0</v>
      </c>
    </row>
    <row r="141" spans="1:14" ht="35.25">
      <c r="A141">
        <v>140</v>
      </c>
      <c r="B141" s="2" t="s">
        <v>442</v>
      </c>
      <c r="C141" s="2">
        <v>2013</v>
      </c>
      <c r="D141" s="2" t="s">
        <v>443</v>
      </c>
      <c r="E141" s="2" t="s">
        <v>47</v>
      </c>
      <c r="F141" s="2">
        <v>8.1999999999999993</v>
      </c>
      <c r="G141" s="4" t="s">
        <v>90</v>
      </c>
      <c r="H141" s="2" t="s">
        <v>444</v>
      </c>
      <c r="I141" s="2" t="s">
        <v>445</v>
      </c>
      <c r="J141" s="2">
        <v>61137</v>
      </c>
      <c r="K141" s="3">
        <v>1626289</v>
      </c>
      <c r="L141">
        <f t="shared" si="4"/>
        <v>1</v>
      </c>
      <c r="N141">
        <f t="shared" si="5"/>
        <v>0</v>
      </c>
    </row>
    <row r="142" spans="1:14" ht="25.5">
      <c r="A142">
        <v>141</v>
      </c>
      <c r="B142" s="2" t="s">
        <v>446</v>
      </c>
      <c r="C142" s="2">
        <v>2012</v>
      </c>
      <c r="D142" s="2" t="s">
        <v>447</v>
      </c>
      <c r="E142" s="2" t="s">
        <v>27</v>
      </c>
      <c r="F142" s="2">
        <v>8.1999999999999993</v>
      </c>
      <c r="G142" s="2">
        <v>89</v>
      </c>
      <c r="H142" s="2" t="s">
        <v>448</v>
      </c>
      <c r="I142" s="2" t="s">
        <v>449</v>
      </c>
      <c r="J142" s="2">
        <v>82365</v>
      </c>
      <c r="K142" s="4" t="s">
        <v>90</v>
      </c>
      <c r="L142">
        <f t="shared" si="4"/>
        <v>1</v>
      </c>
      <c r="N142">
        <f t="shared" si="5"/>
        <v>1</v>
      </c>
    </row>
    <row r="143" spans="1:14" ht="25.5">
      <c r="A143">
        <v>142</v>
      </c>
      <c r="B143" s="2" t="s">
        <v>450</v>
      </c>
      <c r="C143" s="2">
        <v>2010</v>
      </c>
      <c r="D143" s="2" t="s">
        <v>261</v>
      </c>
      <c r="E143" s="2" t="s">
        <v>17</v>
      </c>
      <c r="F143" s="2">
        <v>8.1999999999999993</v>
      </c>
      <c r="G143" s="4" t="s">
        <v>90</v>
      </c>
      <c r="H143" s="2" t="s">
        <v>451</v>
      </c>
      <c r="I143" s="2" t="s">
        <v>452</v>
      </c>
      <c r="J143" s="2">
        <v>42341</v>
      </c>
      <c r="K143" s="3">
        <v>7461</v>
      </c>
      <c r="L143">
        <f t="shared" si="4"/>
        <v>1</v>
      </c>
      <c r="N143">
        <f t="shared" si="5"/>
        <v>0</v>
      </c>
    </row>
    <row r="144" spans="1:14" ht="25.5">
      <c r="A144">
        <v>143</v>
      </c>
      <c r="B144" s="2" t="s">
        <v>453</v>
      </c>
      <c r="C144" s="2">
        <v>2012</v>
      </c>
      <c r="D144" s="2" t="s">
        <v>454</v>
      </c>
      <c r="E144" s="2" t="s">
        <v>27</v>
      </c>
      <c r="F144" s="2">
        <v>8.1999999999999993</v>
      </c>
      <c r="G144" s="4" t="s">
        <v>90</v>
      </c>
      <c r="H144" s="2" t="s">
        <v>455</v>
      </c>
      <c r="I144" s="2" t="s">
        <v>425</v>
      </c>
      <c r="J144" s="2">
        <v>33237</v>
      </c>
      <c r="K144" s="3">
        <v>39567</v>
      </c>
      <c r="L144">
        <f t="shared" si="4"/>
        <v>1</v>
      </c>
      <c r="N144">
        <f t="shared" si="5"/>
        <v>0</v>
      </c>
    </row>
    <row r="145" spans="1:14" ht="23.25">
      <c r="A145">
        <v>144</v>
      </c>
      <c r="B145" s="2" t="s">
        <v>456</v>
      </c>
      <c r="C145" s="2">
        <v>2009</v>
      </c>
      <c r="D145" s="2" t="s">
        <v>368</v>
      </c>
      <c r="E145" s="2" t="s">
        <v>60</v>
      </c>
      <c r="F145" s="2">
        <v>8.1999999999999993</v>
      </c>
      <c r="G145" s="2">
        <v>80</v>
      </c>
      <c r="H145" s="2" t="s">
        <v>457</v>
      </c>
      <c r="I145" s="2" t="s">
        <v>458</v>
      </c>
      <c r="J145" s="2">
        <v>193217</v>
      </c>
      <c r="K145" s="3">
        <v>6391436</v>
      </c>
      <c r="L145">
        <f t="shared" si="4"/>
        <v>1</v>
      </c>
      <c r="N145">
        <f t="shared" si="5"/>
        <v>0</v>
      </c>
    </row>
    <row r="146" spans="1:14" ht="23.25">
      <c r="A146">
        <v>145</v>
      </c>
      <c r="B146" s="2" t="s">
        <v>459</v>
      </c>
      <c r="C146" s="2">
        <v>2011</v>
      </c>
      <c r="D146" s="2" t="s">
        <v>460</v>
      </c>
      <c r="E146" s="2" t="s">
        <v>27</v>
      </c>
      <c r="F146" s="2">
        <v>8.1999999999999993</v>
      </c>
      <c r="G146" s="2">
        <v>71</v>
      </c>
      <c r="H146" s="2" t="s">
        <v>461</v>
      </c>
      <c r="I146" s="2" t="s">
        <v>462</v>
      </c>
      <c r="J146" s="2">
        <v>435950</v>
      </c>
      <c r="K146" s="3">
        <v>13657115</v>
      </c>
      <c r="L146">
        <f t="shared" si="4"/>
        <v>1</v>
      </c>
      <c r="N146">
        <f t="shared" si="5"/>
        <v>0</v>
      </c>
    </row>
    <row r="147" spans="1:14" ht="23.25">
      <c r="A147">
        <v>146</v>
      </c>
      <c r="B147" s="2" t="s">
        <v>463</v>
      </c>
      <c r="C147" s="2">
        <v>2010</v>
      </c>
      <c r="D147" s="2" t="s">
        <v>410</v>
      </c>
      <c r="E147" s="2" t="s">
        <v>258</v>
      </c>
      <c r="F147" s="2">
        <v>8.1999999999999993</v>
      </c>
      <c r="G147" s="2">
        <v>63</v>
      </c>
      <c r="H147" s="2" t="s">
        <v>76</v>
      </c>
      <c r="I147" s="2" t="s">
        <v>52</v>
      </c>
      <c r="J147" s="2">
        <v>1129894</v>
      </c>
      <c r="K147" s="3">
        <v>128012934</v>
      </c>
      <c r="L147">
        <f t="shared" si="4"/>
        <v>1</v>
      </c>
      <c r="N147">
        <f t="shared" si="5"/>
        <v>1</v>
      </c>
    </row>
    <row r="148" spans="1:14" ht="23.25">
      <c r="A148">
        <v>147</v>
      </c>
      <c r="B148" s="2" t="s">
        <v>464</v>
      </c>
      <c r="C148" s="2">
        <v>2009</v>
      </c>
      <c r="D148" s="2" t="s">
        <v>34</v>
      </c>
      <c r="E148" s="2" t="s">
        <v>110</v>
      </c>
      <c r="F148" s="2">
        <v>8.1999999999999993</v>
      </c>
      <c r="G148" s="2">
        <v>88</v>
      </c>
      <c r="H148" s="2" t="s">
        <v>465</v>
      </c>
      <c r="I148" s="2" t="s">
        <v>466</v>
      </c>
      <c r="J148" s="2">
        <v>935507</v>
      </c>
      <c r="K148" s="3">
        <v>293004164</v>
      </c>
      <c r="L148">
        <f t="shared" si="4"/>
        <v>1</v>
      </c>
      <c r="N148">
        <f t="shared" si="5"/>
        <v>1</v>
      </c>
    </row>
    <row r="149" spans="1:14" ht="23.25">
      <c r="A149">
        <v>148</v>
      </c>
      <c r="B149" s="2" t="s">
        <v>467</v>
      </c>
      <c r="C149" s="2">
        <v>2013</v>
      </c>
      <c r="D149" s="2" t="s">
        <v>468</v>
      </c>
      <c r="E149" s="2" t="s">
        <v>47</v>
      </c>
      <c r="F149" s="2">
        <v>8.1999999999999993</v>
      </c>
      <c r="G149" s="2">
        <v>75</v>
      </c>
      <c r="H149" s="2" t="s">
        <v>76</v>
      </c>
      <c r="I149" s="2" t="s">
        <v>52</v>
      </c>
      <c r="J149" s="2">
        <v>1187498</v>
      </c>
      <c r="K149" s="3">
        <v>116900694</v>
      </c>
      <c r="L149">
        <f t="shared" si="4"/>
        <v>1</v>
      </c>
      <c r="N149">
        <f t="shared" si="5"/>
        <v>1</v>
      </c>
    </row>
    <row r="150" spans="1:14" ht="23.25">
      <c r="A150">
        <v>149</v>
      </c>
      <c r="B150" s="2" t="s">
        <v>469</v>
      </c>
      <c r="C150" s="2">
        <v>2007</v>
      </c>
      <c r="D150" s="2" t="s">
        <v>97</v>
      </c>
      <c r="E150" s="2" t="s">
        <v>60</v>
      </c>
      <c r="F150" s="2">
        <v>8.1999999999999993</v>
      </c>
      <c r="G150" s="2">
        <v>68</v>
      </c>
      <c r="H150" s="2" t="s">
        <v>470</v>
      </c>
      <c r="I150" s="2" t="s">
        <v>471</v>
      </c>
      <c r="J150" s="2">
        <v>74129</v>
      </c>
      <c r="K150" s="3">
        <v>1113541</v>
      </c>
      <c r="L150">
        <f t="shared" si="4"/>
        <v>1</v>
      </c>
      <c r="N150">
        <f t="shared" si="5"/>
        <v>0</v>
      </c>
    </row>
    <row r="151" spans="1:14" ht="35.25">
      <c r="A151">
        <v>150</v>
      </c>
      <c r="B151" s="2" t="s">
        <v>472</v>
      </c>
      <c r="C151" s="2">
        <v>2007</v>
      </c>
      <c r="D151" s="2" t="s">
        <v>473</v>
      </c>
      <c r="E151" s="2" t="s">
        <v>17</v>
      </c>
      <c r="F151" s="2">
        <v>8.1999999999999993</v>
      </c>
      <c r="G151" s="2">
        <v>93</v>
      </c>
      <c r="H151" s="2" t="s">
        <v>474</v>
      </c>
      <c r="I151" s="2" t="s">
        <v>475</v>
      </c>
      <c r="J151" s="2">
        <v>517359</v>
      </c>
      <c r="K151" s="3">
        <v>40222514</v>
      </c>
      <c r="L151">
        <f t="shared" si="4"/>
        <v>1</v>
      </c>
      <c r="N151">
        <f t="shared" si="5"/>
        <v>0</v>
      </c>
    </row>
    <row r="152" spans="1:14" ht="23.25">
      <c r="A152">
        <v>151</v>
      </c>
      <c r="B152" s="2" t="s">
        <v>476</v>
      </c>
      <c r="C152" s="2">
        <v>2006</v>
      </c>
      <c r="D152" s="2" t="s">
        <v>123</v>
      </c>
      <c r="E152" s="2" t="s">
        <v>60</v>
      </c>
      <c r="F152" s="2">
        <v>8.1999999999999993</v>
      </c>
      <c r="G152" s="2">
        <v>98</v>
      </c>
      <c r="H152" s="2" t="s">
        <v>477</v>
      </c>
      <c r="I152" s="2" t="s">
        <v>478</v>
      </c>
      <c r="J152" s="2">
        <v>618623</v>
      </c>
      <c r="K152" s="3">
        <v>37634615</v>
      </c>
      <c r="L152">
        <f t="shared" si="4"/>
        <v>1</v>
      </c>
      <c r="N152">
        <f t="shared" si="5"/>
        <v>0</v>
      </c>
    </row>
    <row r="153" spans="1:14" ht="14.25">
      <c r="A153">
        <v>152</v>
      </c>
      <c r="B153" s="2" t="s">
        <v>479</v>
      </c>
      <c r="C153" s="2">
        <v>2010</v>
      </c>
      <c r="D153" s="2" t="s">
        <v>387</v>
      </c>
      <c r="E153" s="2" t="s">
        <v>110</v>
      </c>
      <c r="F153" s="2">
        <v>8.1999999999999993</v>
      </c>
      <c r="G153" s="2">
        <v>92</v>
      </c>
      <c r="H153" s="2" t="s">
        <v>234</v>
      </c>
      <c r="I153" s="2" t="s">
        <v>62</v>
      </c>
      <c r="J153" s="2">
        <v>757032</v>
      </c>
      <c r="K153" s="3">
        <v>415004880</v>
      </c>
      <c r="L153">
        <f t="shared" si="4"/>
        <v>1</v>
      </c>
      <c r="N153">
        <f t="shared" si="5"/>
        <v>1</v>
      </c>
    </row>
    <row r="154" spans="1:14" ht="23.25">
      <c r="A154">
        <v>153</v>
      </c>
      <c r="B154" s="2" t="s">
        <v>480</v>
      </c>
      <c r="C154" s="2">
        <v>2005</v>
      </c>
      <c r="D154" s="2" t="s">
        <v>92</v>
      </c>
      <c r="E154" s="2" t="s">
        <v>27</v>
      </c>
      <c r="F154" s="2">
        <v>8.1999999999999993</v>
      </c>
      <c r="G154" s="2">
        <v>62</v>
      </c>
      <c r="H154" s="2" t="s">
        <v>481</v>
      </c>
      <c r="I154" s="2" t="s">
        <v>482</v>
      </c>
      <c r="J154" s="2">
        <v>1032749</v>
      </c>
      <c r="K154" s="3">
        <v>70511035</v>
      </c>
      <c r="L154">
        <f t="shared" si="4"/>
        <v>1</v>
      </c>
      <c r="N154">
        <f t="shared" si="5"/>
        <v>1</v>
      </c>
    </row>
    <row r="155" spans="1:14" ht="35.25">
      <c r="A155">
        <v>154</v>
      </c>
      <c r="B155" s="2" t="s">
        <v>483</v>
      </c>
      <c r="C155" s="2">
        <v>2006</v>
      </c>
      <c r="D155" s="2" t="s">
        <v>427</v>
      </c>
      <c r="E155" s="2" t="s">
        <v>93</v>
      </c>
      <c r="F155" s="2">
        <v>8.1999999999999993</v>
      </c>
      <c r="G155" s="4" t="s">
        <v>90</v>
      </c>
      <c r="H155" s="2" t="s">
        <v>444</v>
      </c>
      <c r="I155" s="2" t="s">
        <v>221</v>
      </c>
      <c r="J155" s="2">
        <v>111937</v>
      </c>
      <c r="K155" s="3">
        <v>2197331</v>
      </c>
      <c r="L155">
        <f t="shared" si="4"/>
        <v>1</v>
      </c>
      <c r="N155">
        <f t="shared" si="5"/>
        <v>0</v>
      </c>
    </row>
    <row r="156" spans="1:14" ht="35.25">
      <c r="A156">
        <v>155</v>
      </c>
      <c r="B156" s="2" t="s">
        <v>484</v>
      </c>
      <c r="C156" s="2">
        <v>2005</v>
      </c>
      <c r="D156" s="2" t="s">
        <v>140</v>
      </c>
      <c r="E156" s="2" t="s">
        <v>17</v>
      </c>
      <c r="F156" s="2">
        <v>8.1999999999999993</v>
      </c>
      <c r="G156" s="4" t="s">
        <v>90</v>
      </c>
      <c r="H156" s="2" t="s">
        <v>485</v>
      </c>
      <c r="I156" s="2" t="s">
        <v>486</v>
      </c>
      <c r="J156" s="2">
        <v>33354</v>
      </c>
      <c r="K156" s="3">
        <v>733094</v>
      </c>
      <c r="L156">
        <f t="shared" si="4"/>
        <v>1</v>
      </c>
      <c r="N156">
        <f t="shared" si="5"/>
        <v>0</v>
      </c>
    </row>
    <row r="157" spans="1:14" ht="23.25">
      <c r="A157">
        <v>156</v>
      </c>
      <c r="B157" s="2" t="s">
        <v>487</v>
      </c>
      <c r="C157" s="2">
        <v>2005</v>
      </c>
      <c r="D157" s="2" t="s">
        <v>460</v>
      </c>
      <c r="E157" s="2" t="s">
        <v>27</v>
      </c>
      <c r="F157" s="2">
        <v>8.1999999999999993</v>
      </c>
      <c r="G157" s="2">
        <v>70</v>
      </c>
      <c r="H157" s="2" t="s">
        <v>28</v>
      </c>
      <c r="I157" s="2" t="s">
        <v>29</v>
      </c>
      <c r="J157" s="2">
        <v>1308302</v>
      </c>
      <c r="K157" s="3">
        <v>206852432</v>
      </c>
      <c r="L157">
        <f t="shared" si="4"/>
        <v>1</v>
      </c>
      <c r="N157">
        <f t="shared" si="5"/>
        <v>1</v>
      </c>
    </row>
    <row r="158" spans="1:14" ht="25.5">
      <c r="A158">
        <v>157</v>
      </c>
      <c r="B158" s="2" t="s">
        <v>488</v>
      </c>
      <c r="C158" s="2">
        <v>2004</v>
      </c>
      <c r="D158" s="2" t="s">
        <v>489</v>
      </c>
      <c r="E158" s="2" t="s">
        <v>17</v>
      </c>
      <c r="F158" s="2">
        <v>8.1999999999999993</v>
      </c>
      <c r="G158" s="4" t="s">
        <v>90</v>
      </c>
      <c r="H158" s="2" t="s">
        <v>490</v>
      </c>
      <c r="I158" s="2" t="s">
        <v>471</v>
      </c>
      <c r="J158" s="2">
        <v>83005</v>
      </c>
      <c r="K158" s="3">
        <v>1223240</v>
      </c>
      <c r="L158">
        <f t="shared" si="4"/>
        <v>1</v>
      </c>
      <c r="N158">
        <f t="shared" si="5"/>
        <v>0</v>
      </c>
    </row>
    <row r="159" spans="1:14" ht="35.25">
      <c r="A159">
        <v>158</v>
      </c>
      <c r="B159" s="2" t="s">
        <v>491</v>
      </c>
      <c r="C159" s="2">
        <v>2004</v>
      </c>
      <c r="D159" s="2" t="s">
        <v>414</v>
      </c>
      <c r="E159" s="2" t="s">
        <v>47</v>
      </c>
      <c r="F159" s="2">
        <v>8.1999999999999993</v>
      </c>
      <c r="G159" s="2">
        <v>82</v>
      </c>
      <c r="H159" s="2" t="s">
        <v>492</v>
      </c>
      <c r="I159" s="2" t="s">
        <v>493</v>
      </c>
      <c r="J159" s="2">
        <v>331308</v>
      </c>
      <c r="K159" s="3">
        <v>5509040</v>
      </c>
      <c r="L159">
        <f t="shared" si="4"/>
        <v>1</v>
      </c>
      <c r="N159">
        <f t="shared" si="5"/>
        <v>0</v>
      </c>
    </row>
    <row r="160" spans="1:14" ht="23.25">
      <c r="A160">
        <v>159</v>
      </c>
      <c r="B160" s="2" t="s">
        <v>494</v>
      </c>
      <c r="C160" s="2">
        <v>2004</v>
      </c>
      <c r="D160" s="2" t="s">
        <v>163</v>
      </c>
      <c r="E160" s="2" t="s">
        <v>110</v>
      </c>
      <c r="F160" s="2">
        <v>8.1999999999999993</v>
      </c>
      <c r="G160" s="2">
        <v>80</v>
      </c>
      <c r="H160" s="2" t="s">
        <v>111</v>
      </c>
      <c r="I160" s="2" t="s">
        <v>495</v>
      </c>
      <c r="J160" s="2">
        <v>333915</v>
      </c>
      <c r="K160" s="3">
        <v>4711096</v>
      </c>
      <c r="L160">
        <f t="shared" si="4"/>
        <v>1</v>
      </c>
      <c r="N160">
        <f t="shared" si="5"/>
        <v>0</v>
      </c>
    </row>
    <row r="161" spans="1:14" ht="23.25">
      <c r="A161">
        <v>160</v>
      </c>
      <c r="B161" s="2" t="s">
        <v>496</v>
      </c>
      <c r="C161" s="2">
        <v>2001</v>
      </c>
      <c r="D161" s="2" t="s">
        <v>454</v>
      </c>
      <c r="E161" s="2" t="s">
        <v>47</v>
      </c>
      <c r="F161" s="2">
        <v>8.1999999999999993</v>
      </c>
      <c r="G161" s="2">
        <v>72</v>
      </c>
      <c r="H161" s="2" t="s">
        <v>497</v>
      </c>
      <c r="I161" s="2" t="s">
        <v>161</v>
      </c>
      <c r="J161" s="2">
        <v>848920</v>
      </c>
      <c r="K161" s="3">
        <v>170742341</v>
      </c>
      <c r="L161">
        <f t="shared" si="4"/>
        <v>1</v>
      </c>
      <c r="N161">
        <f t="shared" si="5"/>
        <v>1</v>
      </c>
    </row>
    <row r="162" spans="1:14" ht="25.5">
      <c r="A162">
        <v>161</v>
      </c>
      <c r="B162" s="2" t="s">
        <v>498</v>
      </c>
      <c r="C162" s="2">
        <v>2000</v>
      </c>
      <c r="D162" s="2" t="s">
        <v>414</v>
      </c>
      <c r="E162" s="2" t="s">
        <v>27</v>
      </c>
      <c r="F162" s="2">
        <v>8.1999999999999993</v>
      </c>
      <c r="G162" s="4" t="s">
        <v>90</v>
      </c>
      <c r="H162" s="2" t="s">
        <v>499</v>
      </c>
      <c r="I162" s="2" t="s">
        <v>500</v>
      </c>
      <c r="J162" s="2">
        <v>57057</v>
      </c>
      <c r="K162" s="4" t="s">
        <v>90</v>
      </c>
      <c r="L162">
        <f t="shared" si="4"/>
        <v>1</v>
      </c>
      <c r="N162">
        <f t="shared" si="5"/>
        <v>1</v>
      </c>
    </row>
    <row r="163" spans="1:14" ht="35.25">
      <c r="A163">
        <v>162</v>
      </c>
      <c r="B163" s="2" t="s">
        <v>501</v>
      </c>
      <c r="C163" s="2">
        <v>1998</v>
      </c>
      <c r="D163" s="2" t="s">
        <v>396</v>
      </c>
      <c r="E163" s="2" t="s">
        <v>27</v>
      </c>
      <c r="F163" s="2">
        <v>8.1999999999999993</v>
      </c>
      <c r="G163" s="2">
        <v>66</v>
      </c>
      <c r="H163" s="2" t="s">
        <v>330</v>
      </c>
      <c r="I163" s="2" t="s">
        <v>502</v>
      </c>
      <c r="J163" s="2">
        <v>535216</v>
      </c>
      <c r="K163" s="3">
        <v>3897569</v>
      </c>
      <c r="L163">
        <f t="shared" si="4"/>
        <v>1</v>
      </c>
      <c r="N163">
        <f t="shared" si="5"/>
        <v>0</v>
      </c>
    </row>
    <row r="164" spans="1:14" ht="23.25">
      <c r="A164">
        <v>163</v>
      </c>
      <c r="B164" s="2" t="s">
        <v>503</v>
      </c>
      <c r="C164" s="2">
        <v>1997</v>
      </c>
      <c r="D164" s="2" t="s">
        <v>410</v>
      </c>
      <c r="E164" s="2" t="s">
        <v>22</v>
      </c>
      <c r="F164" s="2">
        <v>8.1999999999999993</v>
      </c>
      <c r="G164" s="2">
        <v>90</v>
      </c>
      <c r="H164" s="2" t="s">
        <v>504</v>
      </c>
      <c r="I164" s="2" t="s">
        <v>168</v>
      </c>
      <c r="J164" s="2">
        <v>531967</v>
      </c>
      <c r="K164" s="3">
        <v>64616940</v>
      </c>
      <c r="L164">
        <f t="shared" si="4"/>
        <v>1</v>
      </c>
      <c r="N164">
        <f t="shared" si="5"/>
        <v>1</v>
      </c>
    </row>
    <row r="165" spans="1:14" ht="25.5">
      <c r="A165">
        <v>164</v>
      </c>
      <c r="B165" s="2" t="s">
        <v>505</v>
      </c>
      <c r="C165" s="2">
        <v>1996</v>
      </c>
      <c r="D165" s="2" t="s">
        <v>385</v>
      </c>
      <c r="E165" s="2" t="s">
        <v>22</v>
      </c>
      <c r="F165" s="2">
        <v>8.1999999999999993</v>
      </c>
      <c r="G165" s="4" t="s">
        <v>90</v>
      </c>
      <c r="H165" s="2" t="s">
        <v>506</v>
      </c>
      <c r="I165" s="2" t="s">
        <v>507</v>
      </c>
      <c r="J165" s="2">
        <v>64118</v>
      </c>
      <c r="K165" s="4" t="s">
        <v>90</v>
      </c>
      <c r="L165">
        <f t="shared" si="4"/>
        <v>1</v>
      </c>
      <c r="N165">
        <f t="shared" si="5"/>
        <v>1</v>
      </c>
    </row>
    <row r="166" spans="1:14" ht="23.25">
      <c r="A166">
        <v>165</v>
      </c>
      <c r="B166" s="2" t="s">
        <v>508</v>
      </c>
      <c r="C166" s="2">
        <v>1995</v>
      </c>
      <c r="D166" s="2" t="s">
        <v>241</v>
      </c>
      <c r="E166" s="2" t="s">
        <v>22</v>
      </c>
      <c r="F166" s="2">
        <v>8.1999999999999993</v>
      </c>
      <c r="G166" s="2">
        <v>76</v>
      </c>
      <c r="H166" s="2" t="s">
        <v>509</v>
      </c>
      <c r="I166" s="2" t="s">
        <v>32</v>
      </c>
      <c r="J166" s="2">
        <v>577113</v>
      </c>
      <c r="K166" s="3">
        <v>67436818</v>
      </c>
      <c r="L166">
        <f t="shared" si="4"/>
        <v>1</v>
      </c>
      <c r="N166">
        <f t="shared" si="5"/>
        <v>1</v>
      </c>
    </row>
    <row r="167" spans="1:14" ht="23.25">
      <c r="A167">
        <v>166</v>
      </c>
      <c r="B167" s="2" t="s">
        <v>510</v>
      </c>
      <c r="C167" s="2">
        <v>1995</v>
      </c>
      <c r="D167" s="2" t="s">
        <v>58</v>
      </c>
      <c r="E167" s="2" t="s">
        <v>22</v>
      </c>
      <c r="F167" s="2">
        <v>8.1999999999999993</v>
      </c>
      <c r="G167" s="2">
        <v>73</v>
      </c>
      <c r="H167" s="2" t="s">
        <v>76</v>
      </c>
      <c r="I167" s="2" t="s">
        <v>77</v>
      </c>
      <c r="J167" s="2">
        <v>466276</v>
      </c>
      <c r="K167" s="3">
        <v>42438300</v>
      </c>
      <c r="L167">
        <f t="shared" si="4"/>
        <v>1</v>
      </c>
      <c r="N167">
        <f t="shared" si="5"/>
        <v>0</v>
      </c>
    </row>
    <row r="168" spans="1:14" ht="25.5">
      <c r="A168">
        <v>167</v>
      </c>
      <c r="B168" s="2" t="s">
        <v>511</v>
      </c>
      <c r="C168" s="2">
        <v>1994</v>
      </c>
      <c r="D168" s="2" t="s">
        <v>87</v>
      </c>
      <c r="E168" s="2" t="s">
        <v>27</v>
      </c>
      <c r="F168" s="2">
        <v>8.1999999999999993</v>
      </c>
      <c r="G168" s="4" t="s">
        <v>90</v>
      </c>
      <c r="H168" s="2" t="s">
        <v>512</v>
      </c>
      <c r="I168" s="2" t="s">
        <v>221</v>
      </c>
      <c r="J168" s="2">
        <v>49300</v>
      </c>
      <c r="K168" s="4" t="s">
        <v>90</v>
      </c>
      <c r="L168">
        <f t="shared" si="4"/>
        <v>1</v>
      </c>
      <c r="N168">
        <f t="shared" si="5"/>
        <v>1</v>
      </c>
    </row>
    <row r="169" spans="1:14" ht="23.25">
      <c r="A169">
        <v>168</v>
      </c>
      <c r="B169" s="2" t="s">
        <v>513</v>
      </c>
      <c r="C169" s="2">
        <v>1992</v>
      </c>
      <c r="D169" s="2" t="s">
        <v>105</v>
      </c>
      <c r="E169" s="2" t="s">
        <v>60</v>
      </c>
      <c r="F169" s="2">
        <v>8.1999999999999993</v>
      </c>
      <c r="G169" s="2">
        <v>85</v>
      </c>
      <c r="H169" s="2" t="s">
        <v>67</v>
      </c>
      <c r="I169" s="2" t="s">
        <v>67</v>
      </c>
      <c r="J169" s="2">
        <v>375935</v>
      </c>
      <c r="K169" s="3">
        <v>101157447</v>
      </c>
      <c r="L169">
        <f t="shared" si="4"/>
        <v>1</v>
      </c>
      <c r="N169">
        <f t="shared" si="5"/>
        <v>1</v>
      </c>
    </row>
    <row r="170" spans="1:14" ht="35.25">
      <c r="A170">
        <v>169</v>
      </c>
      <c r="B170" s="2" t="s">
        <v>514</v>
      </c>
      <c r="C170" s="2">
        <v>1989</v>
      </c>
      <c r="D170" s="2" t="s">
        <v>120</v>
      </c>
      <c r="E170" s="2" t="s">
        <v>27</v>
      </c>
      <c r="F170" s="2">
        <v>8.1999999999999993</v>
      </c>
      <c r="G170" s="2">
        <v>65</v>
      </c>
      <c r="H170" s="2" t="s">
        <v>48</v>
      </c>
      <c r="I170" s="2" t="s">
        <v>267</v>
      </c>
      <c r="J170" s="2">
        <v>692366</v>
      </c>
      <c r="K170" s="3">
        <v>197171806</v>
      </c>
      <c r="L170">
        <f t="shared" si="4"/>
        <v>1</v>
      </c>
      <c r="N170">
        <f t="shared" si="5"/>
        <v>1</v>
      </c>
    </row>
    <row r="171" spans="1:14" ht="25.5">
      <c r="A171">
        <v>170</v>
      </c>
      <c r="B171" s="2" t="s">
        <v>515</v>
      </c>
      <c r="C171" s="2">
        <v>1988</v>
      </c>
      <c r="D171" s="2" t="s">
        <v>16</v>
      </c>
      <c r="E171" s="2" t="s">
        <v>93</v>
      </c>
      <c r="F171" s="2">
        <v>8.1999999999999993</v>
      </c>
      <c r="G171" s="4" t="s">
        <v>90</v>
      </c>
      <c r="H171" s="2" t="s">
        <v>516</v>
      </c>
      <c r="I171" s="2" t="s">
        <v>517</v>
      </c>
      <c r="J171" s="2">
        <v>26402</v>
      </c>
      <c r="K171" s="3">
        <v>280015</v>
      </c>
      <c r="L171">
        <f t="shared" si="4"/>
        <v>1</v>
      </c>
      <c r="N171">
        <f t="shared" si="5"/>
        <v>0</v>
      </c>
    </row>
    <row r="172" spans="1:14" ht="23.25">
      <c r="A172">
        <v>171</v>
      </c>
      <c r="B172" s="2" t="s">
        <v>518</v>
      </c>
      <c r="C172" s="2">
        <v>1988</v>
      </c>
      <c r="D172" s="2" t="s">
        <v>519</v>
      </c>
      <c r="E172" s="2" t="s">
        <v>110</v>
      </c>
      <c r="F172" s="2">
        <v>8.1999999999999993</v>
      </c>
      <c r="G172" s="2">
        <v>86</v>
      </c>
      <c r="H172" s="2" t="s">
        <v>111</v>
      </c>
      <c r="I172" s="2" t="s">
        <v>520</v>
      </c>
      <c r="J172" s="2">
        <v>291180</v>
      </c>
      <c r="K172" s="3">
        <v>1105564</v>
      </c>
      <c r="L172">
        <f t="shared" si="4"/>
        <v>1</v>
      </c>
      <c r="N172">
        <f t="shared" si="5"/>
        <v>0</v>
      </c>
    </row>
    <row r="173" spans="1:14" ht="23.25">
      <c r="A173">
        <v>172</v>
      </c>
      <c r="B173" s="2" t="s">
        <v>521</v>
      </c>
      <c r="C173" s="2">
        <v>1988</v>
      </c>
      <c r="D173" s="2" t="s">
        <v>92</v>
      </c>
      <c r="E173" s="2" t="s">
        <v>27</v>
      </c>
      <c r="F173" s="2">
        <v>8.1999999999999993</v>
      </c>
      <c r="G173" s="2">
        <v>72</v>
      </c>
      <c r="H173" s="2" t="s">
        <v>522</v>
      </c>
      <c r="I173" s="2" t="s">
        <v>523</v>
      </c>
      <c r="J173" s="2">
        <v>793164</v>
      </c>
      <c r="K173" s="3">
        <v>83008852</v>
      </c>
      <c r="L173">
        <f t="shared" si="4"/>
        <v>1</v>
      </c>
      <c r="N173">
        <f t="shared" si="5"/>
        <v>1</v>
      </c>
    </row>
    <row r="174" spans="1:14" ht="23.25">
      <c r="A174">
        <v>173</v>
      </c>
      <c r="B174" s="2" t="s">
        <v>524</v>
      </c>
      <c r="C174" s="2">
        <v>1985</v>
      </c>
      <c r="D174" s="2" t="s">
        <v>525</v>
      </c>
      <c r="E174" s="2" t="s">
        <v>27</v>
      </c>
      <c r="F174" s="2">
        <v>8.1999999999999993</v>
      </c>
      <c r="G174" s="2">
        <v>96</v>
      </c>
      <c r="H174" s="2" t="s">
        <v>134</v>
      </c>
      <c r="I174" s="2" t="s">
        <v>131</v>
      </c>
      <c r="J174" s="2">
        <v>112505</v>
      </c>
      <c r="K174" s="3">
        <v>4135750</v>
      </c>
      <c r="L174">
        <f t="shared" si="4"/>
        <v>1</v>
      </c>
      <c r="N174">
        <f t="shared" si="5"/>
        <v>0</v>
      </c>
    </row>
    <row r="175" spans="1:14" ht="23.25">
      <c r="A175">
        <v>174</v>
      </c>
      <c r="B175" s="2" t="s">
        <v>526</v>
      </c>
      <c r="C175" s="2">
        <v>1980</v>
      </c>
      <c r="D175" s="2" t="s">
        <v>368</v>
      </c>
      <c r="E175" s="2" t="s">
        <v>47</v>
      </c>
      <c r="F175" s="2">
        <v>8.1999999999999993</v>
      </c>
      <c r="G175" s="2">
        <v>89</v>
      </c>
      <c r="H175" s="2" t="s">
        <v>76</v>
      </c>
      <c r="I175" s="2" t="s">
        <v>77</v>
      </c>
      <c r="J175" s="2">
        <v>321860</v>
      </c>
      <c r="K175" s="3">
        <v>23383987</v>
      </c>
      <c r="L175">
        <f t="shared" si="4"/>
        <v>1</v>
      </c>
      <c r="N175">
        <f t="shared" si="5"/>
        <v>0</v>
      </c>
    </row>
    <row r="176" spans="1:14" ht="25.5">
      <c r="A176">
        <v>175</v>
      </c>
      <c r="B176" s="2" t="s">
        <v>527</v>
      </c>
      <c r="C176" s="2">
        <v>1979</v>
      </c>
      <c r="D176" s="2" t="s">
        <v>525</v>
      </c>
      <c r="E176" s="2" t="s">
        <v>60</v>
      </c>
      <c r="F176" s="2">
        <v>8.1999999999999993</v>
      </c>
      <c r="G176" s="4" t="s">
        <v>90</v>
      </c>
      <c r="H176" s="2" t="s">
        <v>528</v>
      </c>
      <c r="I176" s="2" t="s">
        <v>529</v>
      </c>
      <c r="J176" s="2">
        <v>116945</v>
      </c>
      <c r="K176" s="3">
        <v>234723</v>
      </c>
      <c r="L176">
        <f t="shared" si="4"/>
        <v>1</v>
      </c>
      <c r="N176">
        <f t="shared" si="5"/>
        <v>0</v>
      </c>
    </row>
    <row r="177" spans="1:14" ht="25.5">
      <c r="A177">
        <v>176</v>
      </c>
      <c r="B177" s="2" t="s">
        <v>530</v>
      </c>
      <c r="C177" s="2">
        <v>1978</v>
      </c>
      <c r="D177" s="2" t="s">
        <v>348</v>
      </c>
      <c r="E177" s="2" t="s">
        <v>60</v>
      </c>
      <c r="F177" s="2">
        <v>8.1999999999999993</v>
      </c>
      <c r="G177" s="4" t="s">
        <v>90</v>
      </c>
      <c r="H177" s="2" t="s">
        <v>531</v>
      </c>
      <c r="I177" s="2" t="s">
        <v>532</v>
      </c>
      <c r="J177" s="2">
        <v>26875</v>
      </c>
      <c r="K177" s="4" t="s">
        <v>90</v>
      </c>
      <c r="L177">
        <f t="shared" si="4"/>
        <v>1</v>
      </c>
      <c r="N177">
        <f t="shared" si="5"/>
        <v>1</v>
      </c>
    </row>
    <row r="178" spans="1:14" ht="25.5">
      <c r="A178">
        <v>177</v>
      </c>
      <c r="B178" s="2" t="s">
        <v>533</v>
      </c>
      <c r="C178" s="2">
        <v>1976</v>
      </c>
      <c r="D178" s="2" t="s">
        <v>534</v>
      </c>
      <c r="E178" s="2" t="s">
        <v>47</v>
      </c>
      <c r="F178" s="2">
        <v>8.1999999999999993</v>
      </c>
      <c r="G178" s="4" t="s">
        <v>90</v>
      </c>
      <c r="H178" s="2" t="s">
        <v>535</v>
      </c>
      <c r="I178" s="2" t="s">
        <v>536</v>
      </c>
      <c r="J178" s="2">
        <v>43885</v>
      </c>
      <c r="K178" s="4" t="s">
        <v>90</v>
      </c>
      <c r="L178">
        <f t="shared" si="4"/>
        <v>1</v>
      </c>
      <c r="N178">
        <f t="shared" si="5"/>
        <v>1</v>
      </c>
    </row>
    <row r="179" spans="1:14" ht="25.5">
      <c r="A179">
        <v>178</v>
      </c>
      <c r="B179" s="2" t="s">
        <v>537</v>
      </c>
      <c r="C179" s="2">
        <v>1975</v>
      </c>
      <c r="D179" s="2" t="s">
        <v>538</v>
      </c>
      <c r="E179" s="2" t="s">
        <v>27</v>
      </c>
      <c r="F179" s="2">
        <v>8.1999999999999993</v>
      </c>
      <c r="G179" s="4" t="s">
        <v>90</v>
      </c>
      <c r="H179" s="2" t="s">
        <v>539</v>
      </c>
      <c r="I179" s="2" t="s">
        <v>540</v>
      </c>
      <c r="J179" s="2">
        <v>51284</v>
      </c>
      <c r="K179" s="4" t="s">
        <v>90</v>
      </c>
      <c r="L179">
        <f t="shared" si="4"/>
        <v>1</v>
      </c>
      <c r="N179">
        <f t="shared" si="5"/>
        <v>1</v>
      </c>
    </row>
    <row r="180" spans="1:14" ht="35.25">
      <c r="A180">
        <v>179</v>
      </c>
      <c r="B180" s="2" t="s">
        <v>541</v>
      </c>
      <c r="C180" s="2">
        <v>1975</v>
      </c>
      <c r="D180" s="2" t="s">
        <v>542</v>
      </c>
      <c r="E180" s="2" t="s">
        <v>102</v>
      </c>
      <c r="F180" s="2">
        <v>8.1999999999999993</v>
      </c>
      <c r="G180" s="2">
        <v>91</v>
      </c>
      <c r="H180" s="2" t="s">
        <v>543</v>
      </c>
      <c r="I180" s="2" t="s">
        <v>544</v>
      </c>
      <c r="J180" s="2">
        <v>500875</v>
      </c>
      <c r="K180" s="3">
        <v>1229197</v>
      </c>
      <c r="L180">
        <f t="shared" si="4"/>
        <v>1</v>
      </c>
      <c r="N180">
        <f t="shared" si="5"/>
        <v>0</v>
      </c>
    </row>
    <row r="181" spans="1:14" ht="23.25">
      <c r="A181">
        <v>180</v>
      </c>
      <c r="B181" s="2" t="s">
        <v>545</v>
      </c>
      <c r="C181" s="2">
        <v>1963</v>
      </c>
      <c r="D181" s="2" t="s">
        <v>546</v>
      </c>
      <c r="E181" s="2" t="s">
        <v>102</v>
      </c>
      <c r="F181" s="2">
        <v>8.1999999999999993</v>
      </c>
      <c r="G181" s="2">
        <v>86</v>
      </c>
      <c r="H181" s="2" t="s">
        <v>547</v>
      </c>
      <c r="I181" s="2" t="s">
        <v>548</v>
      </c>
      <c r="J181" s="2">
        <v>224730</v>
      </c>
      <c r="K181" s="3">
        <v>12100000</v>
      </c>
      <c r="L181">
        <f t="shared" si="4"/>
        <v>1</v>
      </c>
      <c r="N181">
        <f t="shared" si="5"/>
        <v>0</v>
      </c>
    </row>
    <row r="182" spans="1:14" ht="25.5">
      <c r="A182">
        <v>181</v>
      </c>
      <c r="B182" s="2" t="s">
        <v>549</v>
      </c>
      <c r="C182" s="2">
        <v>1962</v>
      </c>
      <c r="D182" s="2" t="s">
        <v>368</v>
      </c>
      <c r="E182" s="2" t="s">
        <v>22</v>
      </c>
      <c r="F182" s="2">
        <v>8.1999999999999993</v>
      </c>
      <c r="G182" s="2">
        <v>88</v>
      </c>
      <c r="H182" s="2" t="s">
        <v>550</v>
      </c>
      <c r="I182" s="2" t="s">
        <v>551</v>
      </c>
      <c r="J182" s="2">
        <v>293811</v>
      </c>
      <c r="K182" s="4" t="s">
        <v>90</v>
      </c>
      <c r="L182">
        <f t="shared" si="4"/>
        <v>1</v>
      </c>
      <c r="N182">
        <f t="shared" si="5"/>
        <v>1</v>
      </c>
    </row>
    <row r="183" spans="1:14" ht="25.5">
      <c r="A183">
        <v>182</v>
      </c>
      <c r="B183" s="2" t="s">
        <v>552</v>
      </c>
      <c r="C183" s="2">
        <v>1961</v>
      </c>
      <c r="D183" s="2" t="s">
        <v>170</v>
      </c>
      <c r="E183" s="2" t="s">
        <v>27</v>
      </c>
      <c r="F183" s="2">
        <v>8.1999999999999993</v>
      </c>
      <c r="G183" s="4" t="s">
        <v>90</v>
      </c>
      <c r="H183" s="2" t="s">
        <v>134</v>
      </c>
      <c r="I183" s="2" t="s">
        <v>135</v>
      </c>
      <c r="J183" s="2">
        <v>111244</v>
      </c>
      <c r="K183" s="4" t="s">
        <v>90</v>
      </c>
      <c r="L183">
        <f t="shared" si="4"/>
        <v>1</v>
      </c>
      <c r="N183">
        <f t="shared" si="5"/>
        <v>1</v>
      </c>
    </row>
    <row r="184" spans="1:14" ht="25.5">
      <c r="A184">
        <v>183</v>
      </c>
      <c r="B184" s="2" t="s">
        <v>553</v>
      </c>
      <c r="C184" s="2">
        <v>1961</v>
      </c>
      <c r="D184" s="2" t="s">
        <v>69</v>
      </c>
      <c r="E184" s="2" t="s">
        <v>60</v>
      </c>
      <c r="F184" s="2">
        <v>8.1999999999999993</v>
      </c>
      <c r="G184" s="2">
        <v>60</v>
      </c>
      <c r="H184" s="2" t="s">
        <v>554</v>
      </c>
      <c r="I184" s="2" t="s">
        <v>555</v>
      </c>
      <c r="J184" s="2">
        <v>69458</v>
      </c>
      <c r="K184" s="4" t="s">
        <v>90</v>
      </c>
      <c r="L184">
        <f t="shared" si="4"/>
        <v>1</v>
      </c>
      <c r="N184">
        <f t="shared" si="5"/>
        <v>1</v>
      </c>
    </row>
    <row r="185" spans="1:14" ht="23.25">
      <c r="A185">
        <v>184</v>
      </c>
      <c r="B185" s="2" t="s">
        <v>556</v>
      </c>
      <c r="C185" s="2">
        <v>1959</v>
      </c>
      <c r="D185" s="2" t="s">
        <v>127</v>
      </c>
      <c r="E185" s="2" t="s">
        <v>93</v>
      </c>
      <c r="F185" s="2">
        <v>8.1999999999999993</v>
      </c>
      <c r="G185" s="2">
        <v>98</v>
      </c>
      <c r="H185" s="2" t="s">
        <v>284</v>
      </c>
      <c r="I185" s="2" t="s">
        <v>557</v>
      </c>
      <c r="J185" s="2">
        <v>243943</v>
      </c>
      <c r="K185" s="3">
        <v>25000000</v>
      </c>
      <c r="L185">
        <f t="shared" si="4"/>
        <v>1</v>
      </c>
      <c r="N185">
        <f t="shared" si="5"/>
        <v>0</v>
      </c>
    </row>
    <row r="186" spans="1:14" ht="25.5">
      <c r="A186">
        <v>185</v>
      </c>
      <c r="B186" s="2" t="s">
        <v>558</v>
      </c>
      <c r="C186" s="2">
        <v>1957</v>
      </c>
      <c r="D186" s="2" t="s">
        <v>542</v>
      </c>
      <c r="E186" s="2" t="s">
        <v>60</v>
      </c>
      <c r="F186" s="2">
        <v>8.1999999999999993</v>
      </c>
      <c r="G186" s="2">
        <v>88</v>
      </c>
      <c r="H186" s="2" t="s">
        <v>531</v>
      </c>
      <c r="I186" s="2" t="s">
        <v>559</v>
      </c>
      <c r="J186" s="2">
        <v>96381</v>
      </c>
      <c r="K186" s="4" t="s">
        <v>90</v>
      </c>
      <c r="L186">
        <f t="shared" si="4"/>
        <v>1</v>
      </c>
      <c r="N186">
        <f t="shared" si="5"/>
        <v>1</v>
      </c>
    </row>
    <row r="187" spans="1:14" ht="25.5">
      <c r="A187">
        <v>186</v>
      </c>
      <c r="B187" s="2" t="s">
        <v>560</v>
      </c>
      <c r="C187" s="2">
        <v>1957</v>
      </c>
      <c r="D187" s="2" t="s">
        <v>34</v>
      </c>
      <c r="E187" s="2" t="s">
        <v>60</v>
      </c>
      <c r="F187" s="2">
        <v>8.1999999999999993</v>
      </c>
      <c r="G187" s="2">
        <v>88</v>
      </c>
      <c r="H187" s="2" t="s">
        <v>531</v>
      </c>
      <c r="I187" s="2" t="s">
        <v>561</v>
      </c>
      <c r="J187" s="2">
        <v>164939</v>
      </c>
      <c r="K187" s="4" t="s">
        <v>90</v>
      </c>
      <c r="L187">
        <f t="shared" si="4"/>
        <v>1</v>
      </c>
      <c r="N187">
        <f t="shared" si="5"/>
        <v>1</v>
      </c>
    </row>
    <row r="188" spans="1:14" ht="23.25">
      <c r="A188">
        <v>187</v>
      </c>
      <c r="B188" s="2" t="s">
        <v>562</v>
      </c>
      <c r="C188" s="2">
        <v>1955</v>
      </c>
      <c r="D188" s="2" t="s">
        <v>123</v>
      </c>
      <c r="E188" s="2" t="s">
        <v>22</v>
      </c>
      <c r="F188" s="2">
        <v>8.1999999999999993</v>
      </c>
      <c r="G188" s="2">
        <v>97</v>
      </c>
      <c r="H188" s="2" t="s">
        <v>563</v>
      </c>
      <c r="I188" s="2" t="s">
        <v>564</v>
      </c>
      <c r="J188" s="2">
        <v>28810</v>
      </c>
      <c r="K188" s="3">
        <v>57226</v>
      </c>
      <c r="L188">
        <f t="shared" si="4"/>
        <v>1</v>
      </c>
      <c r="N188">
        <f t="shared" si="5"/>
        <v>0</v>
      </c>
    </row>
    <row r="189" spans="1:14" ht="23.25">
      <c r="A189">
        <v>188</v>
      </c>
      <c r="B189" s="2" t="s">
        <v>565</v>
      </c>
      <c r="C189" s="2">
        <v>1954</v>
      </c>
      <c r="D189" s="2" t="s">
        <v>233</v>
      </c>
      <c r="E189" s="2" t="s">
        <v>22</v>
      </c>
      <c r="F189" s="2">
        <v>8.1999999999999993</v>
      </c>
      <c r="G189" s="2">
        <v>75</v>
      </c>
      <c r="H189" s="2" t="s">
        <v>195</v>
      </c>
      <c r="I189" s="2" t="s">
        <v>566</v>
      </c>
      <c r="J189" s="2">
        <v>158335</v>
      </c>
      <c r="K189" s="3">
        <v>12562</v>
      </c>
      <c r="L189">
        <f t="shared" si="4"/>
        <v>1</v>
      </c>
      <c r="N189">
        <f t="shared" si="5"/>
        <v>0</v>
      </c>
    </row>
    <row r="190" spans="1:14" ht="25.5">
      <c r="A190">
        <v>189</v>
      </c>
      <c r="B190" s="2" t="s">
        <v>567</v>
      </c>
      <c r="C190" s="2">
        <v>1953</v>
      </c>
      <c r="D190" s="2" t="s">
        <v>71</v>
      </c>
      <c r="E190" s="2" t="s">
        <v>17</v>
      </c>
      <c r="F190" s="2">
        <v>8.1999999999999993</v>
      </c>
      <c r="G190" s="4" t="s">
        <v>90</v>
      </c>
      <c r="H190" s="2" t="s">
        <v>568</v>
      </c>
      <c r="I190" s="2" t="s">
        <v>569</v>
      </c>
      <c r="J190" s="2">
        <v>53153</v>
      </c>
      <c r="K190" s="4" t="s">
        <v>90</v>
      </c>
      <c r="L190">
        <f t="shared" si="4"/>
        <v>1</v>
      </c>
      <c r="N190">
        <f t="shared" si="5"/>
        <v>1</v>
      </c>
    </row>
    <row r="191" spans="1:14" ht="23.25">
      <c r="A191">
        <v>190</v>
      </c>
      <c r="B191" s="2" t="s">
        <v>570</v>
      </c>
      <c r="C191" s="2">
        <v>1950</v>
      </c>
      <c r="D191" s="2" t="s">
        <v>174</v>
      </c>
      <c r="E191" s="2" t="s">
        <v>22</v>
      </c>
      <c r="F191" s="2">
        <v>8.1999999999999993</v>
      </c>
      <c r="G191" s="2">
        <v>98</v>
      </c>
      <c r="H191" s="2" t="s">
        <v>134</v>
      </c>
      <c r="I191" s="2" t="s">
        <v>135</v>
      </c>
      <c r="J191" s="2">
        <v>152572</v>
      </c>
      <c r="K191" s="3">
        <v>96568</v>
      </c>
      <c r="L191">
        <f t="shared" si="4"/>
        <v>1</v>
      </c>
      <c r="N191">
        <f t="shared" si="5"/>
        <v>0</v>
      </c>
    </row>
    <row r="192" spans="1:14" ht="23.25">
      <c r="A192">
        <v>191</v>
      </c>
      <c r="B192" s="2" t="s">
        <v>571</v>
      </c>
      <c r="C192" s="2">
        <v>1950</v>
      </c>
      <c r="D192" s="2" t="s">
        <v>410</v>
      </c>
      <c r="E192" s="2" t="s">
        <v>17</v>
      </c>
      <c r="F192" s="2">
        <v>8.1999999999999993</v>
      </c>
      <c r="G192" s="2">
        <v>98</v>
      </c>
      <c r="H192" s="2" t="s">
        <v>572</v>
      </c>
      <c r="I192" s="2" t="s">
        <v>573</v>
      </c>
      <c r="J192" s="2">
        <v>120539</v>
      </c>
      <c r="K192" s="3">
        <v>10177</v>
      </c>
      <c r="L192">
        <f t="shared" si="4"/>
        <v>1</v>
      </c>
      <c r="N192">
        <f t="shared" si="5"/>
        <v>0</v>
      </c>
    </row>
    <row r="193" spans="1:14" ht="35.25">
      <c r="A193">
        <v>192</v>
      </c>
      <c r="B193" s="2" t="s">
        <v>574</v>
      </c>
      <c r="C193" s="2">
        <v>1948</v>
      </c>
      <c r="D193" s="2" t="s">
        <v>206</v>
      </c>
      <c r="E193" s="2" t="s">
        <v>102</v>
      </c>
      <c r="F193" s="2">
        <v>8.1999999999999993</v>
      </c>
      <c r="G193" s="2">
        <v>98</v>
      </c>
      <c r="H193" s="2" t="s">
        <v>575</v>
      </c>
      <c r="I193" s="2" t="s">
        <v>200</v>
      </c>
      <c r="J193" s="2">
        <v>114304</v>
      </c>
      <c r="K193" s="3">
        <v>5014000</v>
      </c>
      <c r="L193">
        <f t="shared" si="4"/>
        <v>1</v>
      </c>
      <c r="N193">
        <f t="shared" si="5"/>
        <v>0</v>
      </c>
    </row>
    <row r="194" spans="1:14" ht="25.5">
      <c r="A194">
        <v>193</v>
      </c>
      <c r="B194" s="2" t="s">
        <v>576</v>
      </c>
      <c r="C194" s="2">
        <v>1942</v>
      </c>
      <c r="D194" s="2" t="s">
        <v>348</v>
      </c>
      <c r="E194" s="2" t="s">
        <v>93</v>
      </c>
      <c r="F194" s="2">
        <v>8.1999999999999993</v>
      </c>
      <c r="G194" s="2">
        <v>86</v>
      </c>
      <c r="H194" s="2" t="s">
        <v>577</v>
      </c>
      <c r="I194" s="2" t="s">
        <v>578</v>
      </c>
      <c r="J194" s="2">
        <v>29915</v>
      </c>
      <c r="K194" s="4" t="s">
        <v>90</v>
      </c>
      <c r="L194">
        <f t="shared" si="4"/>
        <v>1</v>
      </c>
      <c r="N194">
        <f t="shared" si="5"/>
        <v>1</v>
      </c>
    </row>
    <row r="195" spans="1:14" ht="25.5">
      <c r="A195">
        <v>194</v>
      </c>
      <c r="B195" s="2" t="s">
        <v>579</v>
      </c>
      <c r="C195" s="2">
        <v>1925</v>
      </c>
      <c r="D195" s="2" t="s">
        <v>280</v>
      </c>
      <c r="E195" s="2" t="s">
        <v>102</v>
      </c>
      <c r="F195" s="2">
        <v>8.1999999999999993</v>
      </c>
      <c r="G195" s="4" t="s">
        <v>90</v>
      </c>
      <c r="H195" s="2" t="s">
        <v>203</v>
      </c>
      <c r="I195" s="2" t="s">
        <v>203</v>
      </c>
      <c r="J195" s="2">
        <v>101053</v>
      </c>
      <c r="K195" s="3">
        <v>5450000</v>
      </c>
      <c r="L195">
        <f t="shared" ref="L195:L258" si="6">IF(AND(F195&gt;=8.2, G195&gt;8.2), 1, 0)</f>
        <v>1</v>
      </c>
      <c r="N195">
        <f t="shared" ref="N195:N258" si="7">IF(K195&gt;=50000000, 1, 0)</f>
        <v>0</v>
      </c>
    </row>
    <row r="196" spans="1:14" ht="25.5">
      <c r="A196">
        <v>195</v>
      </c>
      <c r="B196" s="2" t="s">
        <v>580</v>
      </c>
      <c r="C196" s="2">
        <v>1924</v>
      </c>
      <c r="D196" s="2" t="s">
        <v>581</v>
      </c>
      <c r="E196" s="2" t="s">
        <v>27</v>
      </c>
      <c r="F196" s="2">
        <v>8.1999999999999993</v>
      </c>
      <c r="G196" s="4" t="s">
        <v>90</v>
      </c>
      <c r="H196" s="2" t="s">
        <v>582</v>
      </c>
      <c r="I196" s="2" t="s">
        <v>582</v>
      </c>
      <c r="J196" s="2">
        <v>41985</v>
      </c>
      <c r="K196" s="3">
        <v>977375</v>
      </c>
      <c r="L196">
        <f t="shared" si="6"/>
        <v>1</v>
      </c>
      <c r="N196">
        <f t="shared" si="7"/>
        <v>0</v>
      </c>
    </row>
    <row r="197" spans="1:14" ht="35.25">
      <c r="A197">
        <v>196</v>
      </c>
      <c r="B197" s="2" t="s">
        <v>583</v>
      </c>
      <c r="C197" s="2">
        <v>2019</v>
      </c>
      <c r="D197" s="2" t="s">
        <v>140</v>
      </c>
      <c r="E197" s="2" t="s">
        <v>60</v>
      </c>
      <c r="F197" s="2">
        <v>8.1</v>
      </c>
      <c r="G197" s="2">
        <v>95</v>
      </c>
      <c r="H197" s="2" t="s">
        <v>584</v>
      </c>
      <c r="I197" s="2" t="s">
        <v>585</v>
      </c>
      <c r="J197" s="2">
        <v>63134</v>
      </c>
      <c r="K197" s="3">
        <v>3759854</v>
      </c>
      <c r="L197">
        <f t="shared" si="6"/>
        <v>0</v>
      </c>
      <c r="N197">
        <f t="shared" si="7"/>
        <v>0</v>
      </c>
    </row>
    <row r="198" spans="1:14" ht="35.25">
      <c r="A198">
        <v>197</v>
      </c>
      <c r="B198" s="2" t="s">
        <v>586</v>
      </c>
      <c r="C198" s="2">
        <v>2016</v>
      </c>
      <c r="D198" s="2" t="s">
        <v>71</v>
      </c>
      <c r="E198" s="2" t="s">
        <v>60</v>
      </c>
      <c r="F198" s="2">
        <v>8.1</v>
      </c>
      <c r="G198" s="4" t="s">
        <v>90</v>
      </c>
      <c r="H198" s="2" t="s">
        <v>587</v>
      </c>
      <c r="I198" s="2" t="s">
        <v>588</v>
      </c>
      <c r="J198" s="2">
        <v>39216</v>
      </c>
      <c r="K198" s="3">
        <v>1241223</v>
      </c>
      <c r="L198">
        <f t="shared" si="6"/>
        <v>0</v>
      </c>
      <c r="N198">
        <f t="shared" si="7"/>
        <v>0</v>
      </c>
    </row>
    <row r="199" spans="1:14" ht="25.5">
      <c r="A199">
        <v>198</v>
      </c>
      <c r="B199" s="2" t="s">
        <v>589</v>
      </c>
      <c r="C199" s="2">
        <v>2016</v>
      </c>
      <c r="D199" s="2" t="s">
        <v>105</v>
      </c>
      <c r="E199" s="2" t="s">
        <v>110</v>
      </c>
      <c r="F199" s="2">
        <v>8.1</v>
      </c>
      <c r="G199" s="2">
        <v>78</v>
      </c>
      <c r="H199" s="2" t="s">
        <v>590</v>
      </c>
      <c r="I199" s="2" t="s">
        <v>591</v>
      </c>
      <c r="J199" s="2">
        <v>47708</v>
      </c>
      <c r="K199" s="4" t="s">
        <v>90</v>
      </c>
      <c r="L199">
        <f t="shared" si="6"/>
        <v>0</v>
      </c>
      <c r="N199">
        <f t="shared" si="7"/>
        <v>1</v>
      </c>
    </row>
    <row r="200" spans="1:14" ht="25.5">
      <c r="A200">
        <v>199</v>
      </c>
      <c r="B200" s="2" t="s">
        <v>592</v>
      </c>
      <c r="C200" s="2">
        <v>2016</v>
      </c>
      <c r="D200" s="2" t="s">
        <v>144</v>
      </c>
      <c r="E200" s="2" t="s">
        <v>22</v>
      </c>
      <c r="F200" s="2">
        <v>8.1</v>
      </c>
      <c r="G200" s="4" t="s">
        <v>90</v>
      </c>
      <c r="H200" s="2" t="s">
        <v>593</v>
      </c>
      <c r="I200" s="2" t="s">
        <v>594</v>
      </c>
      <c r="J200" s="2">
        <v>141516</v>
      </c>
      <c r="K200" s="4" t="s">
        <v>90</v>
      </c>
      <c r="L200">
        <f t="shared" si="6"/>
        <v>0</v>
      </c>
      <c r="N200">
        <f t="shared" si="7"/>
        <v>1</v>
      </c>
    </row>
    <row r="201" spans="1:14" ht="23.25">
      <c r="A201">
        <v>200</v>
      </c>
      <c r="B201" s="2" t="s">
        <v>595</v>
      </c>
      <c r="C201" s="2">
        <v>2016</v>
      </c>
      <c r="D201" s="2" t="s">
        <v>596</v>
      </c>
      <c r="E201" s="2" t="s">
        <v>60</v>
      </c>
      <c r="F201" s="2">
        <v>8.1</v>
      </c>
      <c r="G201" s="2">
        <v>84</v>
      </c>
      <c r="H201" s="2" t="s">
        <v>254</v>
      </c>
      <c r="I201" s="2" t="s">
        <v>597</v>
      </c>
      <c r="J201" s="2">
        <v>113649</v>
      </c>
      <c r="K201" s="3">
        <v>2006788</v>
      </c>
      <c r="L201">
        <f t="shared" si="6"/>
        <v>0</v>
      </c>
      <c r="N201">
        <f t="shared" si="7"/>
        <v>0</v>
      </c>
    </row>
    <row r="202" spans="1:14" ht="23.25">
      <c r="A202">
        <v>201</v>
      </c>
      <c r="B202" s="2" t="s">
        <v>598</v>
      </c>
      <c r="C202" s="2">
        <v>2014</v>
      </c>
      <c r="D202" s="2" t="s">
        <v>54</v>
      </c>
      <c r="E202" s="2" t="s">
        <v>17</v>
      </c>
      <c r="F202" s="2">
        <v>8.1</v>
      </c>
      <c r="G202" s="2">
        <v>74</v>
      </c>
      <c r="H202" s="2" t="s">
        <v>599</v>
      </c>
      <c r="I202" s="2" t="s">
        <v>600</v>
      </c>
      <c r="J202" s="2">
        <v>50700</v>
      </c>
      <c r="K202" s="3">
        <v>3492754</v>
      </c>
      <c r="L202">
        <f t="shared" si="6"/>
        <v>0</v>
      </c>
      <c r="N202">
        <f t="shared" si="7"/>
        <v>0</v>
      </c>
    </row>
    <row r="203" spans="1:14" ht="25.5">
      <c r="A203">
        <v>202</v>
      </c>
      <c r="B203" s="2" t="s">
        <v>601</v>
      </c>
      <c r="C203" s="2">
        <v>2014</v>
      </c>
      <c r="D203" s="2" t="s">
        <v>87</v>
      </c>
      <c r="E203" s="2" t="s">
        <v>27</v>
      </c>
      <c r="F203" s="2">
        <v>8.1</v>
      </c>
      <c r="G203" s="4" t="s">
        <v>90</v>
      </c>
      <c r="H203" s="2" t="s">
        <v>602</v>
      </c>
      <c r="I203" s="2" t="s">
        <v>603</v>
      </c>
      <c r="J203" s="2">
        <v>50445</v>
      </c>
      <c r="K203" s="3">
        <v>901610</v>
      </c>
      <c r="L203">
        <f t="shared" si="6"/>
        <v>0</v>
      </c>
      <c r="N203">
        <f t="shared" si="7"/>
        <v>0</v>
      </c>
    </row>
    <row r="204" spans="1:14" ht="23.25">
      <c r="A204">
        <v>203</v>
      </c>
      <c r="B204" s="2" t="s">
        <v>604</v>
      </c>
      <c r="C204" s="2">
        <v>2017</v>
      </c>
      <c r="D204" s="2" t="s">
        <v>178</v>
      </c>
      <c r="E204" s="2" t="s">
        <v>27</v>
      </c>
      <c r="F204" s="2">
        <v>8.1</v>
      </c>
      <c r="G204" s="2">
        <v>77</v>
      </c>
      <c r="H204" s="2" t="s">
        <v>605</v>
      </c>
      <c r="I204" s="2" t="s">
        <v>606</v>
      </c>
      <c r="J204" s="2">
        <v>647884</v>
      </c>
      <c r="K204" s="3">
        <v>226277068</v>
      </c>
      <c r="L204">
        <f t="shared" si="6"/>
        <v>0</v>
      </c>
      <c r="N204">
        <f t="shared" si="7"/>
        <v>1</v>
      </c>
    </row>
    <row r="205" spans="1:14" ht="35.25">
      <c r="A205">
        <v>204</v>
      </c>
      <c r="B205" s="2" t="s">
        <v>607</v>
      </c>
      <c r="C205" s="2">
        <v>2015</v>
      </c>
      <c r="D205" s="2" t="s">
        <v>123</v>
      </c>
      <c r="E205" s="2" t="s">
        <v>60</v>
      </c>
      <c r="F205" s="2">
        <v>8.1</v>
      </c>
      <c r="G205" s="2">
        <v>86</v>
      </c>
      <c r="H205" s="2" t="s">
        <v>608</v>
      </c>
      <c r="I205" s="2" t="s">
        <v>609</v>
      </c>
      <c r="J205" s="2">
        <v>371538</v>
      </c>
      <c r="K205" s="3">
        <v>14677674</v>
      </c>
      <c r="L205">
        <f t="shared" si="6"/>
        <v>0</v>
      </c>
      <c r="N205">
        <f t="shared" si="7"/>
        <v>0</v>
      </c>
    </row>
    <row r="206" spans="1:14" ht="23.25">
      <c r="A206">
        <v>205</v>
      </c>
      <c r="B206" s="2" t="s">
        <v>610</v>
      </c>
      <c r="C206" s="2">
        <v>2014</v>
      </c>
      <c r="D206" s="2" t="s">
        <v>140</v>
      </c>
      <c r="E206" s="2" t="s">
        <v>93</v>
      </c>
      <c r="F206" s="2">
        <v>8.1</v>
      </c>
      <c r="G206" s="2">
        <v>77</v>
      </c>
      <c r="H206" s="2" t="s">
        <v>611</v>
      </c>
      <c r="I206" s="2" t="s">
        <v>612</v>
      </c>
      <c r="J206" s="2">
        <v>177059</v>
      </c>
      <c r="K206" s="3">
        <v>3107072</v>
      </c>
      <c r="L206">
        <f t="shared" si="6"/>
        <v>0</v>
      </c>
      <c r="N206">
        <f t="shared" si="7"/>
        <v>0</v>
      </c>
    </row>
    <row r="207" spans="1:14" ht="25.5">
      <c r="A207">
        <v>206</v>
      </c>
      <c r="B207" s="2" t="s">
        <v>613</v>
      </c>
      <c r="C207" s="2">
        <v>2020</v>
      </c>
      <c r="D207" s="2" t="s">
        <v>614</v>
      </c>
      <c r="E207" s="2" t="s">
        <v>110</v>
      </c>
      <c r="F207" s="2">
        <v>8.1</v>
      </c>
      <c r="G207" s="2">
        <v>83</v>
      </c>
      <c r="H207" s="2" t="s">
        <v>465</v>
      </c>
      <c r="I207" s="2" t="s">
        <v>615</v>
      </c>
      <c r="J207" s="2">
        <v>159171</v>
      </c>
      <c r="K207" s="4" t="s">
        <v>90</v>
      </c>
      <c r="L207">
        <f t="shared" si="6"/>
        <v>0</v>
      </c>
      <c r="N207">
        <f t="shared" si="7"/>
        <v>1</v>
      </c>
    </row>
    <row r="208" spans="1:14" ht="23.25">
      <c r="A208">
        <v>207</v>
      </c>
      <c r="B208" s="2" t="s">
        <v>616</v>
      </c>
      <c r="C208" s="2">
        <v>2014</v>
      </c>
      <c r="D208" s="2" t="s">
        <v>617</v>
      </c>
      <c r="E208" s="2" t="s">
        <v>17</v>
      </c>
      <c r="F208" s="2">
        <v>8.1</v>
      </c>
      <c r="G208" s="2">
        <v>88</v>
      </c>
      <c r="H208" s="2" t="s">
        <v>618</v>
      </c>
      <c r="I208" s="2" t="s">
        <v>619</v>
      </c>
      <c r="J208" s="2">
        <v>46547</v>
      </c>
      <c r="K208" s="3">
        <v>165520</v>
      </c>
      <c r="L208">
        <f t="shared" si="6"/>
        <v>0</v>
      </c>
      <c r="N208">
        <f t="shared" si="7"/>
        <v>0</v>
      </c>
    </row>
    <row r="209" spans="1:14" ht="25.5">
      <c r="A209">
        <v>208</v>
      </c>
      <c r="B209" s="2" t="s">
        <v>620</v>
      </c>
      <c r="C209" s="2">
        <v>2014</v>
      </c>
      <c r="D209" s="2" t="s">
        <v>97</v>
      </c>
      <c r="E209" s="2" t="s">
        <v>93</v>
      </c>
      <c r="F209" s="2">
        <v>8.1</v>
      </c>
      <c r="G209" s="4" t="s">
        <v>90</v>
      </c>
      <c r="H209" s="2" t="s">
        <v>242</v>
      </c>
      <c r="I209" s="2" t="s">
        <v>221</v>
      </c>
      <c r="J209" s="2">
        <v>163061</v>
      </c>
      <c r="K209" s="3">
        <v>10616104</v>
      </c>
      <c r="L209">
        <f t="shared" si="6"/>
        <v>0</v>
      </c>
      <c r="N209">
        <f t="shared" si="7"/>
        <v>0</v>
      </c>
    </row>
    <row r="210" spans="1:14" ht="25.5">
      <c r="A210">
        <v>209</v>
      </c>
      <c r="B210" s="2" t="s">
        <v>621</v>
      </c>
      <c r="C210" s="2">
        <v>2012</v>
      </c>
      <c r="D210" s="2" t="s">
        <v>109</v>
      </c>
      <c r="E210" s="2" t="s">
        <v>93</v>
      </c>
      <c r="F210" s="2">
        <v>8.1</v>
      </c>
      <c r="G210" s="4" t="s">
        <v>90</v>
      </c>
      <c r="H210" s="2" t="s">
        <v>622</v>
      </c>
      <c r="I210" s="2" t="s">
        <v>623</v>
      </c>
      <c r="J210" s="2">
        <v>51739</v>
      </c>
      <c r="K210" s="3">
        <v>923221</v>
      </c>
      <c r="L210">
        <f t="shared" si="6"/>
        <v>0</v>
      </c>
      <c r="N210">
        <f t="shared" si="7"/>
        <v>0</v>
      </c>
    </row>
    <row r="211" spans="1:14" ht="23.25">
      <c r="A211">
        <v>210</v>
      </c>
      <c r="B211" s="2" t="s">
        <v>624</v>
      </c>
      <c r="C211" s="2">
        <v>2014</v>
      </c>
      <c r="D211" s="2" t="s">
        <v>348</v>
      </c>
      <c r="E211" s="2" t="s">
        <v>102</v>
      </c>
      <c r="F211" s="2">
        <v>8.1</v>
      </c>
      <c r="G211" s="2">
        <v>88</v>
      </c>
      <c r="H211" s="2" t="s">
        <v>625</v>
      </c>
      <c r="I211" s="2" t="s">
        <v>626</v>
      </c>
      <c r="J211" s="2">
        <v>707630</v>
      </c>
      <c r="K211" s="3">
        <v>59100318</v>
      </c>
      <c r="L211">
        <f t="shared" si="6"/>
        <v>0</v>
      </c>
      <c r="N211">
        <f t="shared" si="7"/>
        <v>1</v>
      </c>
    </row>
    <row r="212" spans="1:14" ht="23.25">
      <c r="A212">
        <v>211</v>
      </c>
      <c r="B212" s="2" t="s">
        <v>627</v>
      </c>
      <c r="C212" s="2">
        <v>2014</v>
      </c>
      <c r="D212" s="2" t="s">
        <v>231</v>
      </c>
      <c r="E212" s="2" t="s">
        <v>60</v>
      </c>
      <c r="F212" s="2">
        <v>8.1</v>
      </c>
      <c r="G212" s="2">
        <v>79</v>
      </c>
      <c r="H212" s="2" t="s">
        <v>55</v>
      </c>
      <c r="I212" s="2" t="s">
        <v>628</v>
      </c>
      <c r="J212" s="2">
        <v>859695</v>
      </c>
      <c r="K212" s="3">
        <v>167767189</v>
      </c>
      <c r="L212">
        <f t="shared" si="6"/>
        <v>0</v>
      </c>
      <c r="N212">
        <f t="shared" si="7"/>
        <v>1</v>
      </c>
    </row>
    <row r="213" spans="1:14" ht="25.5">
      <c r="A213">
        <v>212</v>
      </c>
      <c r="B213" s="2" t="s">
        <v>629</v>
      </c>
      <c r="C213" s="2">
        <v>2012</v>
      </c>
      <c r="D213" s="2" t="s">
        <v>223</v>
      </c>
      <c r="E213" s="2" t="s">
        <v>110</v>
      </c>
      <c r="F213" s="2">
        <v>8.1</v>
      </c>
      <c r="G213" s="2">
        <v>71</v>
      </c>
      <c r="H213" s="2" t="s">
        <v>630</v>
      </c>
      <c r="I213" s="2" t="s">
        <v>631</v>
      </c>
      <c r="J213" s="2">
        <v>38803</v>
      </c>
      <c r="K213" s="4" t="s">
        <v>90</v>
      </c>
      <c r="L213">
        <f t="shared" si="6"/>
        <v>0</v>
      </c>
      <c r="N213">
        <f t="shared" si="7"/>
        <v>1</v>
      </c>
    </row>
    <row r="214" spans="1:14" ht="23.25">
      <c r="A214">
        <v>213</v>
      </c>
      <c r="B214" s="2" t="s">
        <v>632</v>
      </c>
      <c r="C214" s="2">
        <v>2016</v>
      </c>
      <c r="D214" s="2" t="s">
        <v>54</v>
      </c>
      <c r="E214" s="2" t="s">
        <v>47</v>
      </c>
      <c r="F214" s="2">
        <v>8.1</v>
      </c>
      <c r="G214" s="2">
        <v>71</v>
      </c>
      <c r="H214" s="2" t="s">
        <v>346</v>
      </c>
      <c r="I214" s="2" t="s">
        <v>633</v>
      </c>
      <c r="J214" s="2">
        <v>435928</v>
      </c>
      <c r="K214" s="3">
        <v>67209615</v>
      </c>
      <c r="L214">
        <f t="shared" si="6"/>
        <v>0</v>
      </c>
      <c r="N214">
        <f t="shared" si="7"/>
        <v>1</v>
      </c>
    </row>
    <row r="215" spans="1:14" ht="23.25">
      <c r="A215">
        <v>214</v>
      </c>
      <c r="B215" s="2" t="s">
        <v>634</v>
      </c>
      <c r="C215" s="2">
        <v>2015</v>
      </c>
      <c r="D215" s="2" t="s">
        <v>280</v>
      </c>
      <c r="E215" s="2" t="s">
        <v>110</v>
      </c>
      <c r="F215" s="2">
        <v>8.1</v>
      </c>
      <c r="G215" s="2">
        <v>94</v>
      </c>
      <c r="H215" s="2" t="s">
        <v>465</v>
      </c>
      <c r="I215" s="2" t="s">
        <v>635</v>
      </c>
      <c r="J215" s="2">
        <v>616228</v>
      </c>
      <c r="K215" s="3">
        <v>356461711</v>
      </c>
      <c r="L215">
        <f t="shared" si="6"/>
        <v>0</v>
      </c>
      <c r="N215">
        <f t="shared" si="7"/>
        <v>1</v>
      </c>
    </row>
    <row r="216" spans="1:14" ht="25.5">
      <c r="A216">
        <v>215</v>
      </c>
      <c r="B216" s="2" t="s">
        <v>636</v>
      </c>
      <c r="C216" s="2">
        <v>2012</v>
      </c>
      <c r="D216" s="2" t="s">
        <v>153</v>
      </c>
      <c r="E216" s="2" t="s">
        <v>93</v>
      </c>
      <c r="F216" s="2">
        <v>8.1</v>
      </c>
      <c r="G216" s="4" t="s">
        <v>90</v>
      </c>
      <c r="H216" s="2" t="s">
        <v>637</v>
      </c>
      <c r="I216" s="2" t="s">
        <v>638</v>
      </c>
      <c r="J216" s="2">
        <v>75721</v>
      </c>
      <c r="K216" s="3">
        <v>2804874</v>
      </c>
      <c r="L216">
        <f t="shared" si="6"/>
        <v>0</v>
      </c>
      <c r="N216">
        <f t="shared" si="7"/>
        <v>0</v>
      </c>
    </row>
    <row r="217" spans="1:14" ht="23.25">
      <c r="A217">
        <v>216</v>
      </c>
      <c r="B217" s="2" t="s">
        <v>639</v>
      </c>
      <c r="C217" s="2">
        <v>2013</v>
      </c>
      <c r="D217" s="2" t="s">
        <v>261</v>
      </c>
      <c r="E217" s="2" t="s">
        <v>47</v>
      </c>
      <c r="F217" s="2">
        <v>8.1</v>
      </c>
      <c r="G217" s="2">
        <v>96</v>
      </c>
      <c r="H217" s="2" t="s">
        <v>548</v>
      </c>
      <c r="I217" s="2" t="s">
        <v>640</v>
      </c>
      <c r="J217" s="2">
        <v>640533</v>
      </c>
      <c r="K217" s="3">
        <v>56671993</v>
      </c>
      <c r="L217">
        <f t="shared" si="6"/>
        <v>0</v>
      </c>
      <c r="N217">
        <f t="shared" si="7"/>
        <v>1</v>
      </c>
    </row>
    <row r="218" spans="1:14" ht="23.25">
      <c r="A218">
        <v>217</v>
      </c>
      <c r="B218" s="2" t="s">
        <v>641</v>
      </c>
      <c r="C218" s="2">
        <v>2013</v>
      </c>
      <c r="D218" s="2" t="s">
        <v>308</v>
      </c>
      <c r="E218" s="2" t="s">
        <v>27</v>
      </c>
      <c r="F218" s="2">
        <v>8.1</v>
      </c>
      <c r="G218" s="2">
        <v>74</v>
      </c>
      <c r="H218" s="2" t="s">
        <v>497</v>
      </c>
      <c r="I218" s="2" t="s">
        <v>642</v>
      </c>
      <c r="J218" s="2">
        <v>432811</v>
      </c>
      <c r="K218" s="3">
        <v>26947624</v>
      </c>
      <c r="L218">
        <f t="shared" si="6"/>
        <v>0</v>
      </c>
      <c r="N218">
        <f t="shared" si="7"/>
        <v>0</v>
      </c>
    </row>
    <row r="219" spans="1:14" ht="23.25">
      <c r="A219">
        <v>218</v>
      </c>
      <c r="B219" s="2" t="s">
        <v>643</v>
      </c>
      <c r="C219" s="2">
        <v>2019</v>
      </c>
      <c r="D219" s="2" t="s">
        <v>26</v>
      </c>
      <c r="E219" s="2" t="s">
        <v>27</v>
      </c>
      <c r="F219" s="2">
        <v>8.1</v>
      </c>
      <c r="G219" s="2">
        <v>81</v>
      </c>
      <c r="H219" s="2" t="s">
        <v>605</v>
      </c>
      <c r="I219" s="2" t="s">
        <v>644</v>
      </c>
      <c r="J219" s="2">
        <v>291289</v>
      </c>
      <c r="K219" s="3">
        <v>117624028</v>
      </c>
      <c r="L219">
        <f t="shared" si="6"/>
        <v>0</v>
      </c>
      <c r="N219">
        <f t="shared" si="7"/>
        <v>1</v>
      </c>
    </row>
    <row r="220" spans="1:14" ht="23.25">
      <c r="A220">
        <v>219</v>
      </c>
      <c r="B220" s="2" t="s">
        <v>645</v>
      </c>
      <c r="C220" s="2">
        <v>2015</v>
      </c>
      <c r="D220" s="2" t="s">
        <v>368</v>
      </c>
      <c r="E220" s="2" t="s">
        <v>47</v>
      </c>
      <c r="F220" s="2">
        <v>8.1</v>
      </c>
      <c r="G220" s="2">
        <v>93</v>
      </c>
      <c r="H220" s="2" t="s">
        <v>646</v>
      </c>
      <c r="I220" s="2" t="s">
        <v>647</v>
      </c>
      <c r="J220" s="2">
        <v>420316</v>
      </c>
      <c r="K220" s="3">
        <v>45055776</v>
      </c>
      <c r="L220">
        <f t="shared" si="6"/>
        <v>0</v>
      </c>
      <c r="N220">
        <f t="shared" si="7"/>
        <v>0</v>
      </c>
    </row>
    <row r="221" spans="1:14" ht="23.25">
      <c r="A221">
        <v>220</v>
      </c>
      <c r="B221" s="2" t="s">
        <v>648</v>
      </c>
      <c r="C221" s="2">
        <v>2014</v>
      </c>
      <c r="D221" s="2" t="s">
        <v>649</v>
      </c>
      <c r="E221" s="2" t="s">
        <v>110</v>
      </c>
      <c r="F221" s="2">
        <v>8.1</v>
      </c>
      <c r="G221" s="2">
        <v>85</v>
      </c>
      <c r="H221" s="2" t="s">
        <v>650</v>
      </c>
      <c r="I221" s="2" t="s">
        <v>651</v>
      </c>
      <c r="J221" s="2">
        <v>51679</v>
      </c>
      <c r="K221" s="3">
        <v>857524</v>
      </c>
      <c r="L221">
        <f t="shared" si="6"/>
        <v>0</v>
      </c>
      <c r="N221">
        <f t="shared" si="7"/>
        <v>0</v>
      </c>
    </row>
    <row r="222" spans="1:14" ht="25.5">
      <c r="A222">
        <v>221</v>
      </c>
      <c r="B222" s="2" t="s">
        <v>652</v>
      </c>
      <c r="C222" s="2">
        <v>2012</v>
      </c>
      <c r="D222" s="2" t="s">
        <v>140</v>
      </c>
      <c r="E222" s="2" t="s">
        <v>258</v>
      </c>
      <c r="F222" s="2">
        <v>8.1</v>
      </c>
      <c r="G222" s="4" t="s">
        <v>90</v>
      </c>
      <c r="H222" s="2" t="s">
        <v>653</v>
      </c>
      <c r="I222" s="2" t="s">
        <v>654</v>
      </c>
      <c r="J222" s="2">
        <v>57806</v>
      </c>
      <c r="K222" s="3">
        <v>1035953</v>
      </c>
      <c r="L222">
        <f t="shared" si="6"/>
        <v>0</v>
      </c>
      <c r="N222">
        <f t="shared" si="7"/>
        <v>0</v>
      </c>
    </row>
    <row r="223" spans="1:14" ht="25.5">
      <c r="A223">
        <v>222</v>
      </c>
      <c r="B223" s="2" t="s">
        <v>655</v>
      </c>
      <c r="C223" s="2">
        <v>2011</v>
      </c>
      <c r="D223" s="2" t="s">
        <v>159</v>
      </c>
      <c r="E223" s="2" t="s">
        <v>93</v>
      </c>
      <c r="F223" s="2">
        <v>8.1</v>
      </c>
      <c r="G223" s="4" t="s">
        <v>90</v>
      </c>
      <c r="H223" s="2" t="s">
        <v>656</v>
      </c>
      <c r="I223" s="2" t="s">
        <v>657</v>
      </c>
      <c r="J223" s="2">
        <v>67927</v>
      </c>
      <c r="K223" s="3">
        <v>3108485</v>
      </c>
      <c r="L223">
        <f t="shared" si="6"/>
        <v>0</v>
      </c>
      <c r="N223">
        <f t="shared" si="7"/>
        <v>0</v>
      </c>
    </row>
    <row r="224" spans="1:14" ht="23.25">
      <c r="A224">
        <v>223</v>
      </c>
      <c r="B224" s="2" t="s">
        <v>658</v>
      </c>
      <c r="C224" s="2">
        <v>2013</v>
      </c>
      <c r="D224" s="2" t="s">
        <v>97</v>
      </c>
      <c r="E224" s="2" t="s">
        <v>22</v>
      </c>
      <c r="F224" s="2">
        <v>8.1</v>
      </c>
      <c r="G224" s="2">
        <v>70</v>
      </c>
      <c r="H224" s="2" t="s">
        <v>313</v>
      </c>
      <c r="I224" s="2" t="s">
        <v>606</v>
      </c>
      <c r="J224" s="2">
        <v>601149</v>
      </c>
      <c r="K224" s="3">
        <v>61002302</v>
      </c>
      <c r="L224">
        <f t="shared" si="6"/>
        <v>0</v>
      </c>
      <c r="N224">
        <f t="shared" si="7"/>
        <v>1</v>
      </c>
    </row>
    <row r="225" spans="1:14" ht="23.25">
      <c r="A225">
        <v>224</v>
      </c>
      <c r="B225" s="2" t="s">
        <v>659</v>
      </c>
      <c r="C225" s="2">
        <v>2015</v>
      </c>
      <c r="D225" s="2" t="s">
        <v>660</v>
      </c>
      <c r="E225" s="2" t="s">
        <v>27</v>
      </c>
      <c r="F225" s="2">
        <v>8.1</v>
      </c>
      <c r="G225" s="2">
        <v>90</v>
      </c>
      <c r="H225" s="2" t="s">
        <v>661</v>
      </c>
      <c r="I225" s="2" t="s">
        <v>462</v>
      </c>
      <c r="J225" s="2">
        <v>882316</v>
      </c>
      <c r="K225" s="3">
        <v>154058340</v>
      </c>
      <c r="L225">
        <f t="shared" si="6"/>
        <v>0</v>
      </c>
      <c r="N225">
        <f t="shared" si="7"/>
        <v>1</v>
      </c>
    </row>
    <row r="226" spans="1:14" ht="25.5">
      <c r="A226">
        <v>225</v>
      </c>
      <c r="B226" s="2" t="s">
        <v>662</v>
      </c>
      <c r="C226" s="2">
        <v>2008</v>
      </c>
      <c r="D226" s="2" t="s">
        <v>295</v>
      </c>
      <c r="E226" s="2" t="s">
        <v>27</v>
      </c>
      <c r="F226" s="2">
        <v>8.1</v>
      </c>
      <c r="G226" s="4" t="s">
        <v>90</v>
      </c>
      <c r="H226" s="2" t="s">
        <v>663</v>
      </c>
      <c r="I226" s="2" t="s">
        <v>664</v>
      </c>
      <c r="J226" s="2">
        <v>73891</v>
      </c>
      <c r="K226" s="4" t="s">
        <v>90</v>
      </c>
      <c r="L226">
        <f t="shared" si="6"/>
        <v>0</v>
      </c>
      <c r="N226">
        <f t="shared" si="7"/>
        <v>1</v>
      </c>
    </row>
    <row r="227" spans="1:14" ht="23.25">
      <c r="A227">
        <v>226</v>
      </c>
      <c r="B227" s="2" t="s">
        <v>665</v>
      </c>
      <c r="C227" s="2">
        <v>2008</v>
      </c>
      <c r="D227" s="2" t="s">
        <v>117</v>
      </c>
      <c r="E227" s="2" t="s">
        <v>17</v>
      </c>
      <c r="F227" s="2">
        <v>8.1</v>
      </c>
      <c r="G227" s="2">
        <v>72</v>
      </c>
      <c r="H227" s="2" t="s">
        <v>67</v>
      </c>
      <c r="I227" s="2" t="s">
        <v>67</v>
      </c>
      <c r="J227" s="2">
        <v>720450</v>
      </c>
      <c r="K227" s="3">
        <v>148095302</v>
      </c>
      <c r="L227">
        <f t="shared" si="6"/>
        <v>0</v>
      </c>
      <c r="N227">
        <f t="shared" si="7"/>
        <v>1</v>
      </c>
    </row>
    <row r="228" spans="1:14" ht="35.25">
      <c r="A228">
        <v>227</v>
      </c>
      <c r="B228" s="2" t="s">
        <v>666</v>
      </c>
      <c r="C228" s="2">
        <v>2011</v>
      </c>
      <c r="D228" s="2" t="s">
        <v>105</v>
      </c>
      <c r="E228" s="2" t="s">
        <v>102</v>
      </c>
      <c r="F228" s="2">
        <v>8.1</v>
      </c>
      <c r="G228" s="2">
        <v>85</v>
      </c>
      <c r="H228" s="2" t="s">
        <v>667</v>
      </c>
      <c r="I228" s="2" t="s">
        <v>668</v>
      </c>
      <c r="J228" s="2">
        <v>764493</v>
      </c>
      <c r="K228" s="3">
        <v>381011219</v>
      </c>
      <c r="L228">
        <f t="shared" si="6"/>
        <v>0</v>
      </c>
      <c r="N228">
        <f t="shared" si="7"/>
        <v>1</v>
      </c>
    </row>
    <row r="229" spans="1:14" ht="23.25">
      <c r="A229">
        <v>228</v>
      </c>
      <c r="B229" s="2" t="s">
        <v>669</v>
      </c>
      <c r="C229" s="2">
        <v>2008</v>
      </c>
      <c r="D229" s="2" t="s">
        <v>105</v>
      </c>
      <c r="E229" s="2" t="s">
        <v>60</v>
      </c>
      <c r="F229" s="2">
        <v>8.1</v>
      </c>
      <c r="G229" s="2">
        <v>68</v>
      </c>
      <c r="H229" s="2" t="s">
        <v>670</v>
      </c>
      <c r="I229" s="2" t="s">
        <v>671</v>
      </c>
      <c r="J229" s="2">
        <v>48582</v>
      </c>
      <c r="K229" s="3">
        <v>1498210</v>
      </c>
      <c r="L229">
        <f t="shared" si="6"/>
        <v>0</v>
      </c>
      <c r="N229">
        <f t="shared" si="7"/>
        <v>0</v>
      </c>
    </row>
    <row r="230" spans="1:14" ht="25.5">
      <c r="A230">
        <v>229</v>
      </c>
      <c r="B230" s="2" t="s">
        <v>672</v>
      </c>
      <c r="C230" s="2">
        <v>2009</v>
      </c>
      <c r="D230" s="2" t="s">
        <v>649</v>
      </c>
      <c r="E230" s="2" t="s">
        <v>47</v>
      </c>
      <c r="F230" s="2">
        <v>8.1</v>
      </c>
      <c r="G230" s="4" t="s">
        <v>90</v>
      </c>
      <c r="H230" s="2" t="s">
        <v>673</v>
      </c>
      <c r="I230" s="2" t="s">
        <v>674</v>
      </c>
      <c r="J230" s="2">
        <v>253575</v>
      </c>
      <c r="K230" s="4" t="s">
        <v>90</v>
      </c>
      <c r="L230">
        <f t="shared" si="6"/>
        <v>0</v>
      </c>
      <c r="N230">
        <f t="shared" si="7"/>
        <v>1</v>
      </c>
    </row>
    <row r="231" spans="1:14" ht="25.5">
      <c r="A231">
        <v>230</v>
      </c>
      <c r="B231" s="2" t="s">
        <v>675</v>
      </c>
      <c r="C231" s="2">
        <v>2009</v>
      </c>
      <c r="D231" s="2" t="s">
        <v>676</v>
      </c>
      <c r="E231" s="2" t="s">
        <v>110</v>
      </c>
      <c r="F231" s="2">
        <v>8.1</v>
      </c>
      <c r="G231" s="4" t="s">
        <v>90</v>
      </c>
      <c r="H231" s="2" t="s">
        <v>677</v>
      </c>
      <c r="I231" s="2" t="s">
        <v>678</v>
      </c>
      <c r="J231" s="2">
        <v>164462</v>
      </c>
      <c r="K231" s="4" t="s">
        <v>90</v>
      </c>
      <c r="L231">
        <f t="shared" si="6"/>
        <v>0</v>
      </c>
      <c r="N231">
        <f t="shared" si="7"/>
        <v>1</v>
      </c>
    </row>
    <row r="232" spans="1:14" ht="23.25">
      <c r="A232">
        <v>231</v>
      </c>
      <c r="B232" s="2" t="s">
        <v>679</v>
      </c>
      <c r="C232" s="2">
        <v>2010</v>
      </c>
      <c r="D232" s="2" t="s">
        <v>246</v>
      </c>
      <c r="E232" s="2" t="s">
        <v>110</v>
      </c>
      <c r="F232" s="2">
        <v>8.1</v>
      </c>
      <c r="G232" s="2">
        <v>75</v>
      </c>
      <c r="H232" s="2" t="s">
        <v>680</v>
      </c>
      <c r="I232" s="2" t="s">
        <v>681</v>
      </c>
      <c r="J232" s="2">
        <v>666773</v>
      </c>
      <c r="K232" s="3">
        <v>217581231</v>
      </c>
      <c r="L232">
        <f t="shared" si="6"/>
        <v>0</v>
      </c>
      <c r="N232">
        <f t="shared" si="7"/>
        <v>1</v>
      </c>
    </row>
    <row r="233" spans="1:14" ht="23.25">
      <c r="A233">
        <v>232</v>
      </c>
      <c r="B233" s="2" t="s">
        <v>682</v>
      </c>
      <c r="C233" s="2">
        <v>2007</v>
      </c>
      <c r="D233" s="2" t="s">
        <v>51</v>
      </c>
      <c r="E233" s="2" t="s">
        <v>102</v>
      </c>
      <c r="F233" s="2">
        <v>8.1</v>
      </c>
      <c r="G233" s="2">
        <v>73</v>
      </c>
      <c r="H233" s="2" t="s">
        <v>683</v>
      </c>
      <c r="I233" s="2" t="s">
        <v>684</v>
      </c>
      <c r="J233" s="2">
        <v>572921</v>
      </c>
      <c r="K233" s="3">
        <v>18354356</v>
      </c>
      <c r="L233">
        <f t="shared" si="6"/>
        <v>0</v>
      </c>
      <c r="N233">
        <f t="shared" si="7"/>
        <v>0</v>
      </c>
    </row>
    <row r="234" spans="1:14" ht="23.25">
      <c r="A234">
        <v>233</v>
      </c>
      <c r="B234" s="2" t="s">
        <v>685</v>
      </c>
      <c r="C234" s="2">
        <v>2007</v>
      </c>
      <c r="D234" s="2" t="s">
        <v>140</v>
      </c>
      <c r="E234" s="2" t="s">
        <v>22</v>
      </c>
      <c r="F234" s="2">
        <v>8.1</v>
      </c>
      <c r="G234" s="2">
        <v>91</v>
      </c>
      <c r="H234" s="2" t="s">
        <v>686</v>
      </c>
      <c r="I234" s="2" t="s">
        <v>687</v>
      </c>
      <c r="J234" s="2">
        <v>856916</v>
      </c>
      <c r="K234" s="3">
        <v>74283625</v>
      </c>
      <c r="L234">
        <f t="shared" si="6"/>
        <v>0</v>
      </c>
      <c r="N234">
        <f t="shared" si="7"/>
        <v>1</v>
      </c>
    </row>
    <row r="235" spans="1:14" ht="25.5">
      <c r="A235">
        <v>234</v>
      </c>
      <c r="B235" s="2" t="s">
        <v>688</v>
      </c>
      <c r="C235" s="2">
        <v>2006</v>
      </c>
      <c r="D235" s="2" t="s">
        <v>689</v>
      </c>
      <c r="E235" s="2" t="s">
        <v>93</v>
      </c>
      <c r="F235" s="2">
        <v>8.1</v>
      </c>
      <c r="G235" s="4" t="s">
        <v>90</v>
      </c>
      <c r="H235" s="2" t="s">
        <v>242</v>
      </c>
      <c r="I235" s="2" t="s">
        <v>690</v>
      </c>
      <c r="J235" s="2">
        <v>43137</v>
      </c>
      <c r="K235" s="3">
        <v>2217561</v>
      </c>
      <c r="L235">
        <f t="shared" si="6"/>
        <v>0</v>
      </c>
      <c r="N235">
        <f t="shared" si="7"/>
        <v>0</v>
      </c>
    </row>
    <row r="236" spans="1:14" ht="23.25">
      <c r="A236">
        <v>235</v>
      </c>
      <c r="B236" s="2" t="s">
        <v>691</v>
      </c>
      <c r="C236" s="2">
        <v>2004</v>
      </c>
      <c r="D236" s="2" t="s">
        <v>92</v>
      </c>
      <c r="E236" s="2" t="s">
        <v>60</v>
      </c>
      <c r="F236" s="2">
        <v>8.1</v>
      </c>
      <c r="G236" s="2">
        <v>86</v>
      </c>
      <c r="H236" s="2" t="s">
        <v>67</v>
      </c>
      <c r="I236" s="2" t="s">
        <v>692</v>
      </c>
      <c r="J236" s="2">
        <v>635975</v>
      </c>
      <c r="K236" s="3">
        <v>100492203</v>
      </c>
      <c r="L236">
        <f t="shared" si="6"/>
        <v>0</v>
      </c>
      <c r="N236">
        <f t="shared" si="7"/>
        <v>1</v>
      </c>
    </row>
    <row r="237" spans="1:14" ht="23.25">
      <c r="A237">
        <v>236</v>
      </c>
      <c r="B237" s="2" t="s">
        <v>693</v>
      </c>
      <c r="C237" s="2">
        <v>2004</v>
      </c>
      <c r="D237" s="2" t="s">
        <v>127</v>
      </c>
      <c r="E237" s="2" t="s">
        <v>47</v>
      </c>
      <c r="F237" s="2">
        <v>8.1</v>
      </c>
      <c r="G237" s="2">
        <v>79</v>
      </c>
      <c r="H237" s="2" t="s">
        <v>694</v>
      </c>
      <c r="I237" s="2" t="s">
        <v>695</v>
      </c>
      <c r="J237" s="2">
        <v>334320</v>
      </c>
      <c r="K237" s="3">
        <v>23530892</v>
      </c>
      <c r="L237">
        <f t="shared" si="6"/>
        <v>0</v>
      </c>
      <c r="N237">
        <f t="shared" si="7"/>
        <v>0</v>
      </c>
    </row>
    <row r="238" spans="1:14" ht="23.25">
      <c r="A238">
        <v>237</v>
      </c>
      <c r="B238" s="2" t="s">
        <v>696</v>
      </c>
      <c r="C238" s="2">
        <v>2004</v>
      </c>
      <c r="D238" s="2" t="s">
        <v>460</v>
      </c>
      <c r="E238" s="2" t="s">
        <v>27</v>
      </c>
      <c r="F238" s="2">
        <v>8.1</v>
      </c>
      <c r="G238" s="2">
        <v>64</v>
      </c>
      <c r="H238" s="2" t="s">
        <v>697</v>
      </c>
      <c r="I238" s="2" t="s">
        <v>698</v>
      </c>
      <c r="J238" s="2">
        <v>37820</v>
      </c>
      <c r="K238" s="3">
        <v>1111061</v>
      </c>
      <c r="L238">
        <f t="shared" si="6"/>
        <v>0</v>
      </c>
      <c r="N238">
        <f t="shared" si="7"/>
        <v>0</v>
      </c>
    </row>
    <row r="239" spans="1:14" ht="23.25">
      <c r="A239">
        <v>238</v>
      </c>
      <c r="B239" s="2" t="s">
        <v>699</v>
      </c>
      <c r="C239" s="2">
        <v>2004</v>
      </c>
      <c r="D239" s="2" t="s">
        <v>700</v>
      </c>
      <c r="E239" s="2" t="s">
        <v>60</v>
      </c>
      <c r="F239" s="2">
        <v>8.1</v>
      </c>
      <c r="G239" s="2">
        <v>90</v>
      </c>
      <c r="H239" s="2" t="s">
        <v>701</v>
      </c>
      <c r="I239" s="2" t="s">
        <v>702</v>
      </c>
      <c r="J239" s="2">
        <v>236311</v>
      </c>
      <c r="K239" s="3">
        <v>5820649</v>
      </c>
      <c r="L239">
        <f t="shared" si="6"/>
        <v>0</v>
      </c>
      <c r="N239">
        <f t="shared" si="7"/>
        <v>0</v>
      </c>
    </row>
    <row r="240" spans="1:14" ht="25.5">
      <c r="A240">
        <v>239</v>
      </c>
      <c r="B240" s="2" t="s">
        <v>703</v>
      </c>
      <c r="C240" s="2">
        <v>2003</v>
      </c>
      <c r="D240" s="2" t="s">
        <v>414</v>
      </c>
      <c r="E240" s="2" t="s">
        <v>93</v>
      </c>
      <c r="F240" s="2">
        <v>8.1</v>
      </c>
      <c r="G240" s="4" t="s">
        <v>90</v>
      </c>
      <c r="H240" s="2" t="s">
        <v>242</v>
      </c>
      <c r="I240" s="2" t="s">
        <v>690</v>
      </c>
      <c r="J240" s="2">
        <v>73992</v>
      </c>
      <c r="K240" s="4" t="s">
        <v>90</v>
      </c>
      <c r="L240">
        <f t="shared" si="6"/>
        <v>0</v>
      </c>
      <c r="N240">
        <f t="shared" si="7"/>
        <v>1</v>
      </c>
    </row>
    <row r="241" spans="1:14" ht="23.25">
      <c r="A241">
        <v>240</v>
      </c>
      <c r="B241" s="2" t="s">
        <v>704</v>
      </c>
      <c r="C241" s="2">
        <v>2003</v>
      </c>
      <c r="D241" s="2" t="s">
        <v>312</v>
      </c>
      <c r="E241" s="2" t="s">
        <v>22</v>
      </c>
      <c r="F241" s="2">
        <v>8.1</v>
      </c>
      <c r="G241" s="2">
        <v>82</v>
      </c>
      <c r="H241" s="2" t="s">
        <v>94</v>
      </c>
      <c r="I241" s="2" t="s">
        <v>95</v>
      </c>
      <c r="J241" s="2">
        <v>139558</v>
      </c>
      <c r="K241" s="3">
        <v>14131</v>
      </c>
      <c r="L241">
        <f t="shared" si="6"/>
        <v>0</v>
      </c>
      <c r="N241">
        <f t="shared" si="7"/>
        <v>0</v>
      </c>
    </row>
    <row r="242" spans="1:14" ht="25.5">
      <c r="A242">
        <v>241</v>
      </c>
      <c r="B242" s="2" t="s">
        <v>705</v>
      </c>
      <c r="C242" s="2">
        <v>2001</v>
      </c>
      <c r="D242" s="2" t="s">
        <v>706</v>
      </c>
      <c r="E242" s="2" t="s">
        <v>93</v>
      </c>
      <c r="F242" s="2">
        <v>8.1</v>
      </c>
      <c r="G242" s="4" t="s">
        <v>90</v>
      </c>
      <c r="H242" s="2" t="s">
        <v>445</v>
      </c>
      <c r="I242" s="2" t="s">
        <v>221</v>
      </c>
      <c r="J242" s="2">
        <v>66803</v>
      </c>
      <c r="K242" s="3">
        <v>300000</v>
      </c>
      <c r="L242">
        <f t="shared" si="6"/>
        <v>0</v>
      </c>
      <c r="N242">
        <f t="shared" si="7"/>
        <v>0</v>
      </c>
    </row>
    <row r="243" spans="1:14" ht="23.25">
      <c r="A243">
        <v>242</v>
      </c>
      <c r="B243" s="2" t="s">
        <v>707</v>
      </c>
      <c r="C243" s="2">
        <v>2003</v>
      </c>
      <c r="D243" s="2" t="s">
        <v>708</v>
      </c>
      <c r="E243" s="2" t="s">
        <v>27</v>
      </c>
      <c r="F243" s="2">
        <v>8.1</v>
      </c>
      <c r="G243" s="2">
        <v>69</v>
      </c>
      <c r="H243" s="2" t="s">
        <v>43</v>
      </c>
      <c r="I243" s="2" t="s">
        <v>709</v>
      </c>
      <c r="J243" s="2">
        <v>1000639</v>
      </c>
      <c r="K243" s="3">
        <v>70099045</v>
      </c>
      <c r="L243">
        <f t="shared" si="6"/>
        <v>0</v>
      </c>
      <c r="N243">
        <f t="shared" si="7"/>
        <v>1</v>
      </c>
    </row>
    <row r="244" spans="1:14" ht="23.25">
      <c r="A244">
        <v>243</v>
      </c>
      <c r="B244" s="2" t="s">
        <v>710</v>
      </c>
      <c r="C244" s="2">
        <v>2003</v>
      </c>
      <c r="D244" s="2" t="s">
        <v>614</v>
      </c>
      <c r="E244" s="2" t="s">
        <v>110</v>
      </c>
      <c r="F244" s="2">
        <v>8.1</v>
      </c>
      <c r="G244" s="2">
        <v>90</v>
      </c>
      <c r="H244" s="2" t="s">
        <v>247</v>
      </c>
      <c r="I244" s="2" t="s">
        <v>234</v>
      </c>
      <c r="J244" s="2">
        <v>949565</v>
      </c>
      <c r="K244" s="3">
        <v>380843261</v>
      </c>
      <c r="L244">
        <f t="shared" si="6"/>
        <v>0</v>
      </c>
      <c r="N244">
        <f t="shared" si="7"/>
        <v>1</v>
      </c>
    </row>
    <row r="245" spans="1:14" ht="23.25">
      <c r="A245">
        <v>244</v>
      </c>
      <c r="B245" s="2" t="s">
        <v>711</v>
      </c>
      <c r="C245" s="2">
        <v>2002</v>
      </c>
      <c r="D245" s="2" t="s">
        <v>712</v>
      </c>
      <c r="E245" s="2" t="s">
        <v>47</v>
      </c>
      <c r="F245" s="2">
        <v>8.1</v>
      </c>
      <c r="G245" s="2">
        <v>75</v>
      </c>
      <c r="H245" s="2" t="s">
        <v>48</v>
      </c>
      <c r="I245" s="2" t="s">
        <v>52</v>
      </c>
      <c r="J245" s="2">
        <v>832846</v>
      </c>
      <c r="K245" s="3">
        <v>164615351</v>
      </c>
      <c r="L245">
        <f t="shared" si="6"/>
        <v>0</v>
      </c>
      <c r="N245">
        <f t="shared" si="7"/>
        <v>1</v>
      </c>
    </row>
    <row r="246" spans="1:14" ht="23.25">
      <c r="A246">
        <v>245</v>
      </c>
      <c r="B246" s="2" t="s">
        <v>713</v>
      </c>
      <c r="C246" s="2">
        <v>2000</v>
      </c>
      <c r="D246" s="2" t="s">
        <v>42</v>
      </c>
      <c r="E246" s="2" t="s">
        <v>60</v>
      </c>
      <c r="F246" s="2">
        <v>8.1</v>
      </c>
      <c r="G246" s="2">
        <v>83</v>
      </c>
      <c r="H246" s="2" t="s">
        <v>714</v>
      </c>
      <c r="I246" s="2" t="s">
        <v>715</v>
      </c>
      <c r="J246" s="2">
        <v>223741</v>
      </c>
      <c r="K246" s="3">
        <v>5383834</v>
      </c>
      <c r="L246">
        <f t="shared" si="6"/>
        <v>0</v>
      </c>
      <c r="N246">
        <f t="shared" si="7"/>
        <v>0</v>
      </c>
    </row>
    <row r="247" spans="1:14" ht="23.25">
      <c r="A247">
        <v>246</v>
      </c>
      <c r="B247" s="2" t="s">
        <v>716</v>
      </c>
      <c r="C247" s="2">
        <v>2001</v>
      </c>
      <c r="D247" s="2" t="s">
        <v>676</v>
      </c>
      <c r="E247" s="2" t="s">
        <v>110</v>
      </c>
      <c r="F247" s="2">
        <v>8.1</v>
      </c>
      <c r="G247" s="2">
        <v>79</v>
      </c>
      <c r="H247" s="2" t="s">
        <v>465</v>
      </c>
      <c r="I247" s="2" t="s">
        <v>717</v>
      </c>
      <c r="J247" s="2">
        <v>815505</v>
      </c>
      <c r="K247" s="3">
        <v>289916256</v>
      </c>
      <c r="L247">
        <f t="shared" si="6"/>
        <v>0</v>
      </c>
      <c r="N247">
        <f t="shared" si="7"/>
        <v>1</v>
      </c>
    </row>
    <row r="248" spans="1:14" ht="58.5">
      <c r="A248">
        <v>247</v>
      </c>
      <c r="B248" s="2" t="s">
        <v>718</v>
      </c>
      <c r="C248" s="2">
        <v>1997</v>
      </c>
      <c r="D248" s="2" t="s">
        <v>202</v>
      </c>
      <c r="E248" s="2" t="s">
        <v>110</v>
      </c>
      <c r="F248" s="2">
        <v>8.1</v>
      </c>
      <c r="G248" s="4" t="s">
        <v>90</v>
      </c>
      <c r="H248" s="2" t="s">
        <v>719</v>
      </c>
      <c r="I248" s="2" t="s">
        <v>720</v>
      </c>
      <c r="J248" s="2">
        <v>38847</v>
      </c>
      <c r="K248" s="4" t="s">
        <v>90</v>
      </c>
      <c r="L248">
        <f t="shared" si="6"/>
        <v>0</v>
      </c>
      <c r="N248">
        <f t="shared" si="7"/>
        <v>1</v>
      </c>
    </row>
    <row r="249" spans="1:14" ht="35.25">
      <c r="A249">
        <v>248</v>
      </c>
      <c r="B249" s="2" t="s">
        <v>721</v>
      </c>
      <c r="C249" s="2">
        <v>2001</v>
      </c>
      <c r="D249" s="2" t="s">
        <v>722</v>
      </c>
      <c r="E249" s="2" t="s">
        <v>102</v>
      </c>
      <c r="F249" s="2">
        <v>8.1</v>
      </c>
      <c r="G249" s="2">
        <v>84</v>
      </c>
      <c r="H249" s="2" t="s">
        <v>490</v>
      </c>
      <c r="I249" s="2" t="s">
        <v>221</v>
      </c>
      <c r="J249" s="2">
        <v>105036</v>
      </c>
      <c r="K249" s="3">
        <v>70147</v>
      </c>
      <c r="L249">
        <f t="shared" si="6"/>
        <v>0</v>
      </c>
      <c r="N249">
        <f t="shared" si="7"/>
        <v>0</v>
      </c>
    </row>
    <row r="250" spans="1:14" ht="23.25">
      <c r="A250">
        <v>249</v>
      </c>
      <c r="B250" s="2" t="s">
        <v>723</v>
      </c>
      <c r="C250" s="2">
        <v>1999</v>
      </c>
      <c r="D250" s="2" t="s">
        <v>396</v>
      </c>
      <c r="E250" s="2" t="s">
        <v>60</v>
      </c>
      <c r="F250" s="2">
        <v>8.1</v>
      </c>
      <c r="G250" s="2">
        <v>64</v>
      </c>
      <c r="H250" s="2" t="s">
        <v>724</v>
      </c>
      <c r="I250" s="2" t="s">
        <v>523</v>
      </c>
      <c r="J250" s="2">
        <v>911573</v>
      </c>
      <c r="K250" s="3">
        <v>293506292</v>
      </c>
      <c r="L250">
        <f t="shared" si="6"/>
        <v>0</v>
      </c>
      <c r="N250">
        <f t="shared" si="7"/>
        <v>1</v>
      </c>
    </row>
    <row r="251" spans="1:14" ht="35.25">
      <c r="A251">
        <v>250</v>
      </c>
      <c r="B251" s="2" t="s">
        <v>725</v>
      </c>
      <c r="C251" s="2">
        <v>1998</v>
      </c>
      <c r="D251" s="2" t="s">
        <v>101</v>
      </c>
      <c r="E251" s="2" t="s">
        <v>60</v>
      </c>
      <c r="F251" s="2">
        <v>8.1</v>
      </c>
      <c r="G251" s="2">
        <v>58</v>
      </c>
      <c r="H251" s="2" t="s">
        <v>182</v>
      </c>
      <c r="I251" s="2" t="s">
        <v>726</v>
      </c>
      <c r="J251" s="2">
        <v>59020</v>
      </c>
      <c r="K251" s="3">
        <v>259127</v>
      </c>
      <c r="L251">
        <f t="shared" si="6"/>
        <v>0</v>
      </c>
      <c r="N251">
        <f t="shared" si="7"/>
        <v>0</v>
      </c>
    </row>
    <row r="252" spans="1:14" ht="23.25">
      <c r="A252">
        <v>251</v>
      </c>
      <c r="B252" s="2" t="s">
        <v>727</v>
      </c>
      <c r="C252" s="2">
        <v>1998</v>
      </c>
      <c r="D252" s="2" t="s">
        <v>387</v>
      </c>
      <c r="E252" s="2" t="s">
        <v>93</v>
      </c>
      <c r="F252" s="2">
        <v>8.1</v>
      </c>
      <c r="G252" s="2">
        <v>90</v>
      </c>
      <c r="H252" s="2" t="s">
        <v>728</v>
      </c>
      <c r="I252" s="2" t="s">
        <v>325</v>
      </c>
      <c r="J252" s="2">
        <v>939631</v>
      </c>
      <c r="K252" s="3">
        <v>125618201</v>
      </c>
      <c r="L252">
        <f t="shared" si="6"/>
        <v>0</v>
      </c>
      <c r="N252">
        <f t="shared" si="7"/>
        <v>1</v>
      </c>
    </row>
    <row r="253" spans="1:14" ht="23.25">
      <c r="A253">
        <v>252</v>
      </c>
      <c r="B253" s="2" t="s">
        <v>729</v>
      </c>
      <c r="C253" s="2">
        <v>1998</v>
      </c>
      <c r="D253" s="2" t="s">
        <v>120</v>
      </c>
      <c r="E253" s="2" t="s">
        <v>93</v>
      </c>
      <c r="F253" s="2">
        <v>8.1</v>
      </c>
      <c r="G253" s="2">
        <v>73</v>
      </c>
      <c r="H253" s="2" t="s">
        <v>516</v>
      </c>
      <c r="I253" s="2" t="s">
        <v>730</v>
      </c>
      <c r="J253" s="2">
        <v>50862</v>
      </c>
      <c r="K253" s="3">
        <v>348660</v>
      </c>
      <c r="L253">
        <f t="shared" si="6"/>
        <v>0</v>
      </c>
      <c r="N253">
        <f t="shared" si="7"/>
        <v>0</v>
      </c>
    </row>
    <row r="254" spans="1:14" ht="23.25">
      <c r="A254">
        <v>253</v>
      </c>
      <c r="B254" s="2" t="s">
        <v>731</v>
      </c>
      <c r="C254" s="2">
        <v>1998</v>
      </c>
      <c r="D254" s="2" t="s">
        <v>223</v>
      </c>
      <c r="E254" s="2" t="s">
        <v>93</v>
      </c>
      <c r="F254" s="2">
        <v>8.1</v>
      </c>
      <c r="G254" s="2">
        <v>71</v>
      </c>
      <c r="H254" s="2" t="s">
        <v>687</v>
      </c>
      <c r="I254" s="2" t="s">
        <v>686</v>
      </c>
      <c r="J254" s="2">
        <v>732620</v>
      </c>
      <c r="K254" s="3">
        <v>17498804</v>
      </c>
      <c r="L254">
        <f t="shared" si="6"/>
        <v>0</v>
      </c>
      <c r="N254">
        <f t="shared" si="7"/>
        <v>0</v>
      </c>
    </row>
    <row r="255" spans="1:14" ht="23.25">
      <c r="A255">
        <v>254</v>
      </c>
      <c r="B255" s="2" t="s">
        <v>732</v>
      </c>
      <c r="C255" s="2">
        <v>2000</v>
      </c>
      <c r="D255" s="2" t="s">
        <v>246</v>
      </c>
      <c r="E255" s="2" t="s">
        <v>60</v>
      </c>
      <c r="F255" s="2">
        <v>8.1</v>
      </c>
      <c r="G255" s="2">
        <v>85</v>
      </c>
      <c r="H255" s="2" t="s">
        <v>733</v>
      </c>
      <c r="I255" s="2" t="s">
        <v>734</v>
      </c>
      <c r="J255" s="2">
        <v>124383</v>
      </c>
      <c r="K255" s="3">
        <v>2734044</v>
      </c>
      <c r="L255">
        <f t="shared" si="6"/>
        <v>0</v>
      </c>
      <c r="N255">
        <f t="shared" si="7"/>
        <v>0</v>
      </c>
    </row>
    <row r="256" spans="1:14" ht="23.25">
      <c r="A256">
        <v>255</v>
      </c>
      <c r="B256" s="2" t="s">
        <v>735</v>
      </c>
      <c r="C256" s="2">
        <v>1996</v>
      </c>
      <c r="D256" s="2" t="s">
        <v>649</v>
      </c>
      <c r="E256" s="2" t="s">
        <v>17</v>
      </c>
      <c r="F256" s="2">
        <v>8.1</v>
      </c>
      <c r="G256" s="2">
        <v>83</v>
      </c>
      <c r="H256" s="2" t="s">
        <v>736</v>
      </c>
      <c r="I256" s="2" t="s">
        <v>737</v>
      </c>
      <c r="J256" s="2">
        <v>634716</v>
      </c>
      <c r="K256" s="3">
        <v>16501785</v>
      </c>
      <c r="L256">
        <f t="shared" si="6"/>
        <v>0</v>
      </c>
      <c r="N256">
        <f t="shared" si="7"/>
        <v>0</v>
      </c>
    </row>
    <row r="257" spans="1:14" ht="14.25">
      <c r="A257">
        <v>256</v>
      </c>
      <c r="B257" s="2" t="s">
        <v>738</v>
      </c>
      <c r="C257" s="2">
        <v>1996</v>
      </c>
      <c r="D257" s="2" t="s">
        <v>246</v>
      </c>
      <c r="E257" s="2" t="s">
        <v>22</v>
      </c>
      <c r="F257" s="2">
        <v>8.1</v>
      </c>
      <c r="G257" s="2">
        <v>85</v>
      </c>
      <c r="H257" s="2" t="s">
        <v>687</v>
      </c>
      <c r="I257" s="2" t="s">
        <v>686</v>
      </c>
      <c r="J257" s="2">
        <v>617444</v>
      </c>
      <c r="K257" s="3">
        <v>24611975</v>
      </c>
      <c r="L257">
        <f t="shared" si="6"/>
        <v>0</v>
      </c>
      <c r="N257">
        <f t="shared" si="7"/>
        <v>0</v>
      </c>
    </row>
    <row r="258" spans="1:14" ht="35.25">
      <c r="A258">
        <v>257</v>
      </c>
      <c r="B258" s="2" t="s">
        <v>739</v>
      </c>
      <c r="C258" s="2">
        <v>1995</v>
      </c>
      <c r="D258" s="2" t="s">
        <v>241</v>
      </c>
      <c r="E258" s="2" t="s">
        <v>93</v>
      </c>
      <c r="F258" s="2">
        <v>8.1</v>
      </c>
      <c r="G258" s="4" t="s">
        <v>90</v>
      </c>
      <c r="H258" s="2" t="s">
        <v>516</v>
      </c>
      <c r="I258" s="2" t="s">
        <v>740</v>
      </c>
      <c r="J258" s="2">
        <v>55220</v>
      </c>
      <c r="K258" s="3">
        <v>171082</v>
      </c>
      <c r="L258">
        <f t="shared" si="6"/>
        <v>0</v>
      </c>
      <c r="N258">
        <f t="shared" si="7"/>
        <v>0</v>
      </c>
    </row>
    <row r="259" spans="1:14" ht="25.5">
      <c r="A259">
        <v>258</v>
      </c>
      <c r="B259" s="2" t="s">
        <v>741</v>
      </c>
      <c r="C259" s="2">
        <v>1995</v>
      </c>
      <c r="D259" s="2" t="s">
        <v>246</v>
      </c>
      <c r="E259" s="2" t="s">
        <v>22</v>
      </c>
      <c r="F259" s="2">
        <v>8.1</v>
      </c>
      <c r="G259" s="4" t="s">
        <v>90</v>
      </c>
      <c r="H259" s="2" t="s">
        <v>742</v>
      </c>
      <c r="I259" s="2" t="s">
        <v>743</v>
      </c>
      <c r="J259" s="2">
        <v>150345</v>
      </c>
      <c r="K259" s="3">
        <v>309811</v>
      </c>
      <c r="L259">
        <f t="shared" ref="L259:L322" si="8">IF(AND(F259&gt;=8.2, G259&gt;8.2), 1, 0)</f>
        <v>0</v>
      </c>
      <c r="N259">
        <f t="shared" ref="N259:N322" si="9">IF(K259&gt;=50000000, 1, 0)</f>
        <v>0</v>
      </c>
    </row>
    <row r="260" spans="1:14" ht="35.25">
      <c r="A260">
        <v>259</v>
      </c>
      <c r="B260" s="2" t="s">
        <v>744</v>
      </c>
      <c r="C260" s="2">
        <v>1995</v>
      </c>
      <c r="D260" s="2" t="s">
        <v>115</v>
      </c>
      <c r="E260" s="2" t="s">
        <v>60</v>
      </c>
      <c r="F260" s="2">
        <v>8.1</v>
      </c>
      <c r="G260" s="4" t="s">
        <v>90</v>
      </c>
      <c r="H260" s="2" t="s">
        <v>745</v>
      </c>
      <c r="I260" s="2" t="s">
        <v>471</v>
      </c>
      <c r="J260" s="2">
        <v>63516</v>
      </c>
      <c r="K260" s="4" t="s">
        <v>90</v>
      </c>
      <c r="L260">
        <f t="shared" si="8"/>
        <v>0</v>
      </c>
      <c r="N260">
        <f t="shared" si="9"/>
        <v>1</v>
      </c>
    </row>
    <row r="261" spans="1:14" ht="23.25">
      <c r="A261">
        <v>260</v>
      </c>
      <c r="B261" s="2" t="s">
        <v>746</v>
      </c>
      <c r="C261" s="2">
        <v>1995</v>
      </c>
      <c r="D261" s="2" t="s">
        <v>253</v>
      </c>
      <c r="E261" s="2" t="s">
        <v>60</v>
      </c>
      <c r="F261" s="2">
        <v>8.1</v>
      </c>
      <c r="G261" s="2">
        <v>77</v>
      </c>
      <c r="H261" s="2" t="s">
        <v>701</v>
      </c>
      <c r="I261" s="2" t="s">
        <v>702</v>
      </c>
      <c r="J261" s="2">
        <v>272291</v>
      </c>
      <c r="K261" s="3">
        <v>5535405</v>
      </c>
      <c r="L261">
        <f t="shared" si="8"/>
        <v>0</v>
      </c>
      <c r="N261">
        <f t="shared" si="9"/>
        <v>0</v>
      </c>
    </row>
    <row r="262" spans="1:14" ht="23.25">
      <c r="A262">
        <v>261</v>
      </c>
      <c r="B262" s="2" t="s">
        <v>747</v>
      </c>
      <c r="C262" s="2">
        <v>1994</v>
      </c>
      <c r="D262" s="2" t="s">
        <v>348</v>
      </c>
      <c r="E262" s="2" t="s">
        <v>60</v>
      </c>
      <c r="F262" s="2">
        <v>8.1</v>
      </c>
      <c r="G262" s="2">
        <v>100</v>
      </c>
      <c r="H262" s="2" t="s">
        <v>748</v>
      </c>
      <c r="I262" s="2" t="s">
        <v>749</v>
      </c>
      <c r="J262" s="2">
        <v>90729</v>
      </c>
      <c r="K262" s="3">
        <v>4043686</v>
      </c>
      <c r="L262">
        <f t="shared" si="8"/>
        <v>0</v>
      </c>
      <c r="N262">
        <f t="shared" si="9"/>
        <v>0</v>
      </c>
    </row>
    <row r="263" spans="1:14" ht="23.25">
      <c r="A263">
        <v>262</v>
      </c>
      <c r="B263" s="2" t="s">
        <v>750</v>
      </c>
      <c r="C263" s="2">
        <v>1994</v>
      </c>
      <c r="D263" s="2" t="s">
        <v>198</v>
      </c>
      <c r="E263" s="2" t="s">
        <v>93</v>
      </c>
      <c r="F263" s="2">
        <v>8.1</v>
      </c>
      <c r="G263" s="2">
        <v>77</v>
      </c>
      <c r="H263" s="2" t="s">
        <v>733</v>
      </c>
      <c r="I263" s="2" t="s">
        <v>751</v>
      </c>
      <c r="J263" s="2">
        <v>63122</v>
      </c>
      <c r="K263" s="3">
        <v>600200</v>
      </c>
      <c r="L263">
        <f t="shared" si="8"/>
        <v>0</v>
      </c>
      <c r="N263">
        <f t="shared" si="9"/>
        <v>0</v>
      </c>
    </row>
    <row r="264" spans="1:14" ht="23.25">
      <c r="A264">
        <v>263</v>
      </c>
      <c r="B264" s="2" t="s">
        <v>752</v>
      </c>
      <c r="C264" s="2">
        <v>1993</v>
      </c>
      <c r="D264" s="2" t="s">
        <v>120</v>
      </c>
      <c r="E264" s="2" t="s">
        <v>27</v>
      </c>
      <c r="F264" s="2">
        <v>8.1</v>
      </c>
      <c r="G264" s="2">
        <v>68</v>
      </c>
      <c r="H264" s="2" t="s">
        <v>48</v>
      </c>
      <c r="I264" s="2" t="s">
        <v>753</v>
      </c>
      <c r="J264" s="2">
        <v>867615</v>
      </c>
      <c r="K264" s="3">
        <v>402453882</v>
      </c>
      <c r="L264">
        <f t="shared" si="8"/>
        <v>0</v>
      </c>
      <c r="N264">
        <f t="shared" si="9"/>
        <v>1</v>
      </c>
    </row>
    <row r="265" spans="1:14" ht="23.25">
      <c r="A265">
        <v>264</v>
      </c>
      <c r="B265" s="2" t="s">
        <v>754</v>
      </c>
      <c r="C265" s="2">
        <v>1993</v>
      </c>
      <c r="D265" s="2" t="s">
        <v>83</v>
      </c>
      <c r="E265" s="2" t="s">
        <v>47</v>
      </c>
      <c r="F265" s="2">
        <v>8.1</v>
      </c>
      <c r="G265" s="2">
        <v>84</v>
      </c>
      <c r="H265" s="2" t="s">
        <v>755</v>
      </c>
      <c r="I265" s="2" t="s">
        <v>475</v>
      </c>
      <c r="J265" s="2">
        <v>156842</v>
      </c>
      <c r="K265" s="3">
        <v>25010410</v>
      </c>
      <c r="L265">
        <f t="shared" si="8"/>
        <v>0</v>
      </c>
      <c r="N265">
        <f t="shared" si="9"/>
        <v>0</v>
      </c>
    </row>
    <row r="266" spans="1:14" ht="25.5">
      <c r="A266">
        <v>265</v>
      </c>
      <c r="B266" s="2" t="s">
        <v>756</v>
      </c>
      <c r="C266" s="2">
        <v>1993</v>
      </c>
      <c r="D266" s="2" t="s">
        <v>757</v>
      </c>
      <c r="E266" s="2" t="s">
        <v>60</v>
      </c>
      <c r="F266" s="2">
        <v>8.1</v>
      </c>
      <c r="G266" s="4" t="s">
        <v>90</v>
      </c>
      <c r="H266" s="2" t="s">
        <v>758</v>
      </c>
      <c r="I266" s="2" t="s">
        <v>759</v>
      </c>
      <c r="J266" s="2">
        <v>25088</v>
      </c>
      <c r="K266" s="3">
        <v>5216888</v>
      </c>
      <c r="L266">
        <f t="shared" si="8"/>
        <v>0</v>
      </c>
      <c r="N266">
        <f t="shared" si="9"/>
        <v>0</v>
      </c>
    </row>
    <row r="267" spans="1:14" ht="35.25">
      <c r="A267">
        <v>266</v>
      </c>
      <c r="B267" s="2" t="s">
        <v>760</v>
      </c>
      <c r="C267" s="2">
        <v>1991</v>
      </c>
      <c r="D267" s="2" t="s">
        <v>109</v>
      </c>
      <c r="E267" s="2" t="s">
        <v>60</v>
      </c>
      <c r="F267" s="2">
        <v>8.1</v>
      </c>
      <c r="G267" s="4" t="s">
        <v>90</v>
      </c>
      <c r="H267" s="2" t="s">
        <v>761</v>
      </c>
      <c r="I267" s="2" t="s">
        <v>762</v>
      </c>
      <c r="J267" s="2">
        <v>29662</v>
      </c>
      <c r="K267" s="3">
        <v>2603061</v>
      </c>
      <c r="L267">
        <f t="shared" si="8"/>
        <v>0</v>
      </c>
      <c r="N267">
        <f t="shared" si="9"/>
        <v>0</v>
      </c>
    </row>
    <row r="268" spans="1:14" ht="23.25">
      <c r="A268">
        <v>267</v>
      </c>
      <c r="B268" s="2" t="s">
        <v>763</v>
      </c>
      <c r="C268" s="2">
        <v>1989</v>
      </c>
      <c r="D268" s="2" t="s">
        <v>385</v>
      </c>
      <c r="E268" s="2" t="s">
        <v>93</v>
      </c>
      <c r="F268" s="2">
        <v>8.1</v>
      </c>
      <c r="G268" s="2">
        <v>79</v>
      </c>
      <c r="H268" s="2" t="s">
        <v>728</v>
      </c>
      <c r="I268" s="2" t="s">
        <v>338</v>
      </c>
      <c r="J268" s="2">
        <v>425457</v>
      </c>
      <c r="K268" s="3">
        <v>95860116</v>
      </c>
      <c r="L268">
        <f t="shared" si="8"/>
        <v>0</v>
      </c>
      <c r="N268">
        <f t="shared" si="9"/>
        <v>1</v>
      </c>
    </row>
    <row r="269" spans="1:14" ht="23.25">
      <c r="A269">
        <v>268</v>
      </c>
      <c r="B269" s="2" t="s">
        <v>764</v>
      </c>
      <c r="C269" s="2">
        <v>1986</v>
      </c>
      <c r="D269" s="2" t="s">
        <v>185</v>
      </c>
      <c r="E269" s="2" t="s">
        <v>102</v>
      </c>
      <c r="F269" s="2">
        <v>8.1</v>
      </c>
      <c r="G269" s="2">
        <v>75</v>
      </c>
      <c r="H269" s="2" t="s">
        <v>765</v>
      </c>
      <c r="I269" s="2" t="s">
        <v>766</v>
      </c>
      <c r="J269" s="2">
        <v>363401</v>
      </c>
      <c r="K269" s="3">
        <v>52287414</v>
      </c>
      <c r="L269">
        <f t="shared" si="8"/>
        <v>0</v>
      </c>
      <c r="N269">
        <f t="shared" si="9"/>
        <v>1</v>
      </c>
    </row>
    <row r="270" spans="1:14" ht="23.25">
      <c r="A270">
        <v>269</v>
      </c>
      <c r="B270" s="2" t="s">
        <v>767</v>
      </c>
      <c r="C270" s="2">
        <v>1986</v>
      </c>
      <c r="D270" s="2" t="s">
        <v>660</v>
      </c>
      <c r="E270" s="2" t="s">
        <v>60</v>
      </c>
      <c r="F270" s="2">
        <v>8.1</v>
      </c>
      <c r="G270" s="2">
        <v>92</v>
      </c>
      <c r="H270" s="2" t="s">
        <v>768</v>
      </c>
      <c r="I270" s="2" t="s">
        <v>769</v>
      </c>
      <c r="J270" s="2">
        <v>381222</v>
      </c>
      <c r="K270" s="3">
        <v>138530565</v>
      </c>
      <c r="L270">
        <f t="shared" si="8"/>
        <v>0</v>
      </c>
      <c r="N270">
        <f t="shared" si="9"/>
        <v>1</v>
      </c>
    </row>
    <row r="271" spans="1:14" ht="23.25">
      <c r="A271">
        <v>270</v>
      </c>
      <c r="B271" s="2" t="s">
        <v>770</v>
      </c>
      <c r="C271" s="2">
        <v>1984</v>
      </c>
      <c r="D271" s="2" t="s">
        <v>596</v>
      </c>
      <c r="E271" s="2" t="s">
        <v>17</v>
      </c>
      <c r="F271" s="2">
        <v>8.1</v>
      </c>
      <c r="G271" s="2">
        <v>78</v>
      </c>
      <c r="H271" s="2" t="s">
        <v>771</v>
      </c>
      <c r="I271" s="2" t="s">
        <v>772</v>
      </c>
      <c r="J271" s="2">
        <v>91188</v>
      </c>
      <c r="K271" s="3">
        <v>2181987</v>
      </c>
      <c r="L271">
        <f t="shared" si="8"/>
        <v>0</v>
      </c>
      <c r="N271">
        <f t="shared" si="9"/>
        <v>0</v>
      </c>
    </row>
    <row r="272" spans="1:14" ht="23.25">
      <c r="A272">
        <v>271</v>
      </c>
      <c r="B272" s="2" t="s">
        <v>773</v>
      </c>
      <c r="C272" s="2">
        <v>1984</v>
      </c>
      <c r="D272" s="2" t="s">
        <v>223</v>
      </c>
      <c r="E272" s="2" t="s">
        <v>110</v>
      </c>
      <c r="F272" s="2">
        <v>8.1</v>
      </c>
      <c r="G272" s="2">
        <v>86</v>
      </c>
      <c r="H272" s="2" t="s">
        <v>111</v>
      </c>
      <c r="I272" s="2" t="s">
        <v>774</v>
      </c>
      <c r="J272" s="2">
        <v>150924</v>
      </c>
      <c r="K272" s="3">
        <v>495770</v>
      </c>
      <c r="L272">
        <f t="shared" si="8"/>
        <v>0</v>
      </c>
      <c r="N272">
        <f t="shared" si="9"/>
        <v>0</v>
      </c>
    </row>
    <row r="273" spans="1:14" ht="23.25">
      <c r="A273">
        <v>272</v>
      </c>
      <c r="B273" s="2" t="s">
        <v>775</v>
      </c>
      <c r="C273" s="2">
        <v>1982</v>
      </c>
      <c r="D273" s="2" t="s">
        <v>193</v>
      </c>
      <c r="E273" s="2" t="s">
        <v>194</v>
      </c>
      <c r="F273" s="2">
        <v>8.1</v>
      </c>
      <c r="G273" s="2">
        <v>57</v>
      </c>
      <c r="H273" s="2" t="s">
        <v>776</v>
      </c>
      <c r="I273" s="2" t="s">
        <v>777</v>
      </c>
      <c r="J273" s="2">
        <v>371271</v>
      </c>
      <c r="K273" s="3">
        <v>13782838</v>
      </c>
      <c r="L273">
        <f t="shared" si="8"/>
        <v>0</v>
      </c>
      <c r="N273">
        <f t="shared" si="9"/>
        <v>0</v>
      </c>
    </row>
    <row r="274" spans="1:14" ht="23.25">
      <c r="A274">
        <v>273</v>
      </c>
      <c r="B274" s="2" t="s">
        <v>778</v>
      </c>
      <c r="C274" s="2">
        <v>1982</v>
      </c>
      <c r="D274" s="2" t="s">
        <v>280</v>
      </c>
      <c r="E274" s="2" t="s">
        <v>60</v>
      </c>
      <c r="F274" s="2">
        <v>8.1</v>
      </c>
      <c r="G274" s="2">
        <v>47</v>
      </c>
      <c r="H274" s="2" t="s">
        <v>779</v>
      </c>
      <c r="I274" s="2" t="s">
        <v>780</v>
      </c>
      <c r="J274" s="2">
        <v>76081</v>
      </c>
      <c r="K274" s="3">
        <v>22244207</v>
      </c>
      <c r="L274">
        <f t="shared" si="8"/>
        <v>0</v>
      </c>
      <c r="N274">
        <f t="shared" si="9"/>
        <v>0</v>
      </c>
    </row>
    <row r="275" spans="1:14" ht="25.5">
      <c r="A275">
        <v>274</v>
      </c>
      <c r="B275" s="2" t="s">
        <v>781</v>
      </c>
      <c r="C275" s="2">
        <v>1982</v>
      </c>
      <c r="D275" s="2" t="s">
        <v>473</v>
      </c>
      <c r="E275" s="2" t="s">
        <v>102</v>
      </c>
      <c r="F275" s="2">
        <v>8.1</v>
      </c>
      <c r="G275" s="4" t="s">
        <v>90</v>
      </c>
      <c r="H275" s="2" t="s">
        <v>782</v>
      </c>
      <c r="I275" s="2" t="s">
        <v>783</v>
      </c>
      <c r="J275" s="2">
        <v>31595</v>
      </c>
      <c r="K275" s="4" t="s">
        <v>90</v>
      </c>
      <c r="L275">
        <f t="shared" si="8"/>
        <v>0</v>
      </c>
      <c r="N275">
        <f t="shared" si="9"/>
        <v>1</v>
      </c>
    </row>
    <row r="276" spans="1:14" ht="23.25">
      <c r="A276">
        <v>275</v>
      </c>
      <c r="B276" s="2" t="s">
        <v>784</v>
      </c>
      <c r="C276" s="2">
        <v>1982</v>
      </c>
      <c r="D276" s="2" t="s">
        <v>785</v>
      </c>
      <c r="E276" s="2" t="s">
        <v>17</v>
      </c>
      <c r="F276" s="2">
        <v>8.1</v>
      </c>
      <c r="G276" s="2">
        <v>100</v>
      </c>
      <c r="H276" s="2" t="s">
        <v>531</v>
      </c>
      <c r="I276" s="2" t="s">
        <v>786</v>
      </c>
      <c r="J276" s="2">
        <v>57784</v>
      </c>
      <c r="K276" s="3">
        <v>4971340</v>
      </c>
      <c r="L276">
        <f t="shared" si="8"/>
        <v>0</v>
      </c>
      <c r="N276">
        <f t="shared" si="9"/>
        <v>0</v>
      </c>
    </row>
    <row r="277" spans="1:14" ht="23.25">
      <c r="A277">
        <v>276</v>
      </c>
      <c r="B277" s="2" t="s">
        <v>787</v>
      </c>
      <c r="C277" s="2">
        <v>1982</v>
      </c>
      <c r="D277" s="2" t="s">
        <v>223</v>
      </c>
      <c r="E277" s="2" t="s">
        <v>27</v>
      </c>
      <c r="F277" s="2">
        <v>8.1</v>
      </c>
      <c r="G277" s="2">
        <v>84</v>
      </c>
      <c r="H277" s="2" t="s">
        <v>160</v>
      </c>
      <c r="I277" s="2" t="s">
        <v>267</v>
      </c>
      <c r="J277" s="2">
        <v>693827</v>
      </c>
      <c r="K277" s="3">
        <v>32868943</v>
      </c>
      <c r="L277">
        <f t="shared" si="8"/>
        <v>0</v>
      </c>
      <c r="N277">
        <f t="shared" si="9"/>
        <v>0</v>
      </c>
    </row>
    <row r="278" spans="1:14" ht="25.5">
      <c r="A278">
        <v>277</v>
      </c>
      <c r="B278" s="2" t="s">
        <v>788</v>
      </c>
      <c r="C278" s="2">
        <v>1980</v>
      </c>
      <c r="D278" s="2" t="s">
        <v>79</v>
      </c>
      <c r="E278" s="2" t="s">
        <v>47</v>
      </c>
      <c r="F278" s="2">
        <v>8.1</v>
      </c>
      <c r="G278" s="2">
        <v>78</v>
      </c>
      <c r="H278" s="2" t="s">
        <v>789</v>
      </c>
      <c r="I278" s="2" t="s">
        <v>790</v>
      </c>
      <c r="J278" s="2">
        <v>220078</v>
      </c>
      <c r="K278" s="4" t="s">
        <v>90</v>
      </c>
      <c r="L278">
        <f t="shared" si="8"/>
        <v>0</v>
      </c>
      <c r="N278">
        <f t="shared" si="9"/>
        <v>1</v>
      </c>
    </row>
    <row r="279" spans="1:14" ht="23.25">
      <c r="A279">
        <v>278</v>
      </c>
      <c r="B279" s="2" t="s">
        <v>791</v>
      </c>
      <c r="C279" s="2">
        <v>1979</v>
      </c>
      <c r="D279" s="2" t="s">
        <v>792</v>
      </c>
      <c r="E279" s="2" t="s">
        <v>281</v>
      </c>
      <c r="F279" s="2">
        <v>8.1</v>
      </c>
      <c r="G279" s="2">
        <v>77</v>
      </c>
      <c r="H279" s="2" t="s">
        <v>544</v>
      </c>
      <c r="I279" s="2" t="s">
        <v>793</v>
      </c>
      <c r="J279" s="2">
        <v>367250</v>
      </c>
      <c r="K279" s="3">
        <v>20045115</v>
      </c>
      <c r="L279">
        <f t="shared" si="8"/>
        <v>0</v>
      </c>
      <c r="N279">
        <f t="shared" si="9"/>
        <v>0</v>
      </c>
    </row>
    <row r="280" spans="1:14" ht="23.25">
      <c r="A280">
        <v>279</v>
      </c>
      <c r="B280" s="2" t="s">
        <v>794</v>
      </c>
      <c r="C280" s="2">
        <v>1978</v>
      </c>
      <c r="D280" s="2" t="s">
        <v>706</v>
      </c>
      <c r="E280" s="2" t="s">
        <v>60</v>
      </c>
      <c r="F280" s="2">
        <v>8.1</v>
      </c>
      <c r="G280" s="2">
        <v>86</v>
      </c>
      <c r="H280" s="2" t="s">
        <v>795</v>
      </c>
      <c r="I280" s="2" t="s">
        <v>77</v>
      </c>
      <c r="J280" s="2">
        <v>311361</v>
      </c>
      <c r="K280" s="3">
        <v>48979328</v>
      </c>
      <c r="L280">
        <f t="shared" si="8"/>
        <v>0</v>
      </c>
      <c r="N280">
        <f t="shared" si="9"/>
        <v>0</v>
      </c>
    </row>
    <row r="281" spans="1:14" ht="23.25">
      <c r="A281">
        <v>280</v>
      </c>
      <c r="B281" s="2" t="s">
        <v>796</v>
      </c>
      <c r="C281" s="2">
        <v>1976</v>
      </c>
      <c r="D281" s="2" t="s">
        <v>660</v>
      </c>
      <c r="E281" s="2" t="s">
        <v>60</v>
      </c>
      <c r="F281" s="2">
        <v>8.1</v>
      </c>
      <c r="G281" s="2">
        <v>70</v>
      </c>
      <c r="H281" s="2" t="s">
        <v>797</v>
      </c>
      <c r="I281" s="2" t="s">
        <v>798</v>
      </c>
      <c r="J281" s="2">
        <v>518546</v>
      </c>
      <c r="K281" s="3">
        <v>117235247</v>
      </c>
      <c r="L281">
        <f t="shared" si="8"/>
        <v>0</v>
      </c>
      <c r="N281">
        <f t="shared" si="9"/>
        <v>1</v>
      </c>
    </row>
    <row r="282" spans="1:14" ht="25.5">
      <c r="A282">
        <v>281</v>
      </c>
      <c r="B282" s="2" t="s">
        <v>799</v>
      </c>
      <c r="C282" s="2">
        <v>1976</v>
      </c>
      <c r="D282" s="2" t="s">
        <v>127</v>
      </c>
      <c r="E282" s="2" t="s">
        <v>17</v>
      </c>
      <c r="F282" s="2">
        <v>8.1</v>
      </c>
      <c r="G282" s="2">
        <v>83</v>
      </c>
      <c r="H282" s="2" t="s">
        <v>35</v>
      </c>
      <c r="I282" s="2" t="s">
        <v>800</v>
      </c>
      <c r="J282" s="2">
        <v>144911</v>
      </c>
      <c r="K282" s="4" t="s">
        <v>90</v>
      </c>
      <c r="L282">
        <f t="shared" si="8"/>
        <v>0</v>
      </c>
      <c r="N282">
        <f t="shared" si="9"/>
        <v>1</v>
      </c>
    </row>
    <row r="283" spans="1:14" ht="25.5">
      <c r="A283">
        <v>282</v>
      </c>
      <c r="B283" s="2" t="s">
        <v>801</v>
      </c>
      <c r="C283" s="2">
        <v>1975</v>
      </c>
      <c r="D283" s="2" t="s">
        <v>802</v>
      </c>
      <c r="E283" s="2" t="s">
        <v>102</v>
      </c>
      <c r="F283" s="2">
        <v>8.1</v>
      </c>
      <c r="G283" s="2">
        <v>89</v>
      </c>
      <c r="H283" s="2" t="s">
        <v>269</v>
      </c>
      <c r="I283" s="2" t="s">
        <v>803</v>
      </c>
      <c r="J283" s="2">
        <v>149843</v>
      </c>
      <c r="K283" s="4" t="s">
        <v>90</v>
      </c>
      <c r="L283">
        <f t="shared" si="8"/>
        <v>0</v>
      </c>
      <c r="N283">
        <f t="shared" si="9"/>
        <v>1</v>
      </c>
    </row>
    <row r="284" spans="1:14" ht="25.5">
      <c r="A284">
        <v>283</v>
      </c>
      <c r="B284" s="2" t="s">
        <v>804</v>
      </c>
      <c r="C284" s="2">
        <v>1975</v>
      </c>
      <c r="D284" s="2" t="s">
        <v>396</v>
      </c>
      <c r="E284" s="2" t="s">
        <v>47</v>
      </c>
      <c r="F284" s="2">
        <v>8.1</v>
      </c>
      <c r="G284" s="4" t="s">
        <v>90</v>
      </c>
      <c r="H284" s="2" t="s">
        <v>528</v>
      </c>
      <c r="I284" s="2" t="s">
        <v>805</v>
      </c>
      <c r="J284" s="2">
        <v>40081</v>
      </c>
      <c r="K284" s="3">
        <v>177345</v>
      </c>
      <c r="L284">
        <f t="shared" si="8"/>
        <v>0</v>
      </c>
      <c r="N284">
        <f t="shared" si="9"/>
        <v>0</v>
      </c>
    </row>
    <row r="285" spans="1:14" ht="23.25">
      <c r="A285">
        <v>284</v>
      </c>
      <c r="B285" s="2" t="s">
        <v>806</v>
      </c>
      <c r="C285" s="2">
        <v>1974</v>
      </c>
      <c r="D285" s="2" t="s">
        <v>105</v>
      </c>
      <c r="E285" s="2" t="s">
        <v>60</v>
      </c>
      <c r="F285" s="2">
        <v>8.1</v>
      </c>
      <c r="G285" s="2">
        <v>92</v>
      </c>
      <c r="H285" s="2" t="s">
        <v>156</v>
      </c>
      <c r="I285" s="2" t="s">
        <v>85</v>
      </c>
      <c r="J285" s="2">
        <v>294230</v>
      </c>
      <c r="K285" s="3">
        <v>29000000</v>
      </c>
      <c r="L285">
        <f t="shared" si="8"/>
        <v>0</v>
      </c>
      <c r="N285">
        <f t="shared" si="9"/>
        <v>0</v>
      </c>
    </row>
    <row r="286" spans="1:14" ht="35.25">
      <c r="A286">
        <v>285</v>
      </c>
      <c r="B286" s="2" t="s">
        <v>807</v>
      </c>
      <c r="C286" s="2">
        <v>1973</v>
      </c>
      <c r="D286" s="2" t="s">
        <v>198</v>
      </c>
      <c r="E286" s="2" t="s">
        <v>93</v>
      </c>
      <c r="F286" s="2">
        <v>8.1</v>
      </c>
      <c r="G286" s="2">
        <v>77</v>
      </c>
      <c r="H286" s="2" t="s">
        <v>808</v>
      </c>
      <c r="I286" s="2" t="s">
        <v>803</v>
      </c>
      <c r="J286" s="2">
        <v>42285</v>
      </c>
      <c r="K286" s="3">
        <v>30933743</v>
      </c>
      <c r="L286">
        <f t="shared" si="8"/>
        <v>0</v>
      </c>
      <c r="N286">
        <f t="shared" si="9"/>
        <v>0</v>
      </c>
    </row>
    <row r="287" spans="1:14" ht="25.5">
      <c r="A287">
        <v>286</v>
      </c>
      <c r="B287" s="2" t="s">
        <v>809</v>
      </c>
      <c r="C287" s="2">
        <v>1972</v>
      </c>
      <c r="D287" s="2" t="s">
        <v>542</v>
      </c>
      <c r="E287" s="2" t="s">
        <v>17</v>
      </c>
      <c r="F287" s="2">
        <v>8.1</v>
      </c>
      <c r="G287" s="4" t="s">
        <v>90</v>
      </c>
      <c r="H287" s="2" t="s">
        <v>531</v>
      </c>
      <c r="I287" s="2" t="s">
        <v>810</v>
      </c>
      <c r="J287" s="2">
        <v>30206</v>
      </c>
      <c r="K287" s="3">
        <v>1742348</v>
      </c>
      <c r="L287">
        <f t="shared" si="8"/>
        <v>0</v>
      </c>
      <c r="N287">
        <f t="shared" si="9"/>
        <v>0</v>
      </c>
    </row>
    <row r="288" spans="1:14" ht="25.5">
      <c r="A288">
        <v>287</v>
      </c>
      <c r="B288" s="2" t="s">
        <v>811</v>
      </c>
      <c r="C288" s="2">
        <v>1972</v>
      </c>
      <c r="D288" s="2" t="s">
        <v>427</v>
      </c>
      <c r="E288" s="2" t="s">
        <v>60</v>
      </c>
      <c r="F288" s="2">
        <v>8.1</v>
      </c>
      <c r="G288" s="2">
        <v>90</v>
      </c>
      <c r="H288" s="2" t="s">
        <v>528</v>
      </c>
      <c r="I288" s="2" t="s">
        <v>812</v>
      </c>
      <c r="J288" s="2">
        <v>81021</v>
      </c>
      <c r="K288" s="4" t="s">
        <v>90</v>
      </c>
      <c r="L288">
        <f t="shared" si="8"/>
        <v>0</v>
      </c>
      <c r="N288">
        <f t="shared" si="9"/>
        <v>1</v>
      </c>
    </row>
    <row r="289" spans="1:14" ht="25.5">
      <c r="A289">
        <v>288</v>
      </c>
      <c r="B289" s="2" t="s">
        <v>813</v>
      </c>
      <c r="C289" s="2">
        <v>1967</v>
      </c>
      <c r="D289" s="2" t="s">
        <v>233</v>
      </c>
      <c r="E289" s="2" t="s">
        <v>22</v>
      </c>
      <c r="F289" s="2">
        <v>8.1</v>
      </c>
      <c r="G289" s="4" t="s">
        <v>90</v>
      </c>
      <c r="H289" s="2" t="s">
        <v>814</v>
      </c>
      <c r="I289" s="2" t="s">
        <v>815</v>
      </c>
      <c r="J289" s="2">
        <v>45434</v>
      </c>
      <c r="K289" s="3">
        <v>39481</v>
      </c>
      <c r="L289">
        <f t="shared" si="8"/>
        <v>0</v>
      </c>
      <c r="N289">
        <f t="shared" si="9"/>
        <v>0</v>
      </c>
    </row>
    <row r="290" spans="1:14" ht="23.25">
      <c r="A290">
        <v>289</v>
      </c>
      <c r="B290" s="2" t="s">
        <v>816</v>
      </c>
      <c r="C290" s="2">
        <v>1967</v>
      </c>
      <c r="D290" s="2" t="s">
        <v>120</v>
      </c>
      <c r="E290" s="2" t="s">
        <v>22</v>
      </c>
      <c r="F290" s="2">
        <v>8.1</v>
      </c>
      <c r="G290" s="2">
        <v>92</v>
      </c>
      <c r="H290" s="2" t="s">
        <v>817</v>
      </c>
      <c r="I290" s="2" t="s">
        <v>370</v>
      </c>
      <c r="J290" s="2">
        <v>161984</v>
      </c>
      <c r="K290" s="3">
        <v>16217773</v>
      </c>
      <c r="L290">
        <f t="shared" si="8"/>
        <v>0</v>
      </c>
      <c r="N290">
        <f t="shared" si="9"/>
        <v>0</v>
      </c>
    </row>
    <row r="291" spans="1:14" ht="25.5">
      <c r="A291">
        <v>290</v>
      </c>
      <c r="B291" s="2" t="s">
        <v>818</v>
      </c>
      <c r="C291" s="2">
        <v>1966</v>
      </c>
      <c r="D291" s="2" t="s">
        <v>819</v>
      </c>
      <c r="E291" s="2" t="s">
        <v>60</v>
      </c>
      <c r="F291" s="2">
        <v>8.1</v>
      </c>
      <c r="G291" s="2">
        <v>86</v>
      </c>
      <c r="H291" s="2" t="s">
        <v>531</v>
      </c>
      <c r="I291" s="2" t="s">
        <v>820</v>
      </c>
      <c r="J291" s="2">
        <v>103191</v>
      </c>
      <c r="K291" s="4" t="s">
        <v>90</v>
      </c>
      <c r="L291">
        <f t="shared" si="8"/>
        <v>0</v>
      </c>
      <c r="N291">
        <f t="shared" si="9"/>
        <v>1</v>
      </c>
    </row>
    <row r="292" spans="1:14" ht="25.5">
      <c r="A292">
        <v>291</v>
      </c>
      <c r="B292" s="2" t="s">
        <v>821</v>
      </c>
      <c r="C292" s="2">
        <v>1966</v>
      </c>
      <c r="D292" s="2" t="s">
        <v>822</v>
      </c>
      <c r="E292" s="2" t="s">
        <v>47</v>
      </c>
      <c r="F292" s="2">
        <v>8.1</v>
      </c>
      <c r="G292" s="4" t="s">
        <v>90</v>
      </c>
      <c r="H292" s="2" t="s">
        <v>528</v>
      </c>
      <c r="I292" s="2" t="s">
        <v>823</v>
      </c>
      <c r="J292" s="2">
        <v>46947</v>
      </c>
      <c r="K292" s="3">
        <v>102021</v>
      </c>
      <c r="L292">
        <f t="shared" si="8"/>
        <v>0</v>
      </c>
      <c r="N292">
        <f t="shared" si="9"/>
        <v>0</v>
      </c>
    </row>
    <row r="293" spans="1:14" ht="23.25">
      <c r="A293">
        <v>292</v>
      </c>
      <c r="B293" s="2" t="s">
        <v>824</v>
      </c>
      <c r="C293" s="2">
        <v>1966</v>
      </c>
      <c r="D293" s="2" t="s">
        <v>127</v>
      </c>
      <c r="E293" s="2" t="s">
        <v>60</v>
      </c>
      <c r="F293" s="2">
        <v>8.1</v>
      </c>
      <c r="G293" s="2">
        <v>96</v>
      </c>
      <c r="H293" s="2" t="s">
        <v>825</v>
      </c>
      <c r="I293" s="2" t="s">
        <v>826</v>
      </c>
      <c r="J293" s="2">
        <v>53089</v>
      </c>
      <c r="K293" s="3">
        <v>55908</v>
      </c>
      <c r="L293">
        <f t="shared" si="8"/>
        <v>0</v>
      </c>
      <c r="N293">
        <f t="shared" si="9"/>
        <v>0</v>
      </c>
    </row>
    <row r="294" spans="1:14" ht="25.5">
      <c r="A294">
        <v>293</v>
      </c>
      <c r="B294" s="2" t="s">
        <v>827</v>
      </c>
      <c r="C294" s="2">
        <v>1962</v>
      </c>
      <c r="D294" s="2" t="s">
        <v>280</v>
      </c>
      <c r="E294" s="2" t="s">
        <v>60</v>
      </c>
      <c r="F294" s="2">
        <v>8.1</v>
      </c>
      <c r="G294" s="4" t="s">
        <v>90</v>
      </c>
      <c r="H294" s="2" t="s">
        <v>828</v>
      </c>
      <c r="I294" s="2" t="s">
        <v>829</v>
      </c>
      <c r="J294" s="2">
        <v>29682</v>
      </c>
      <c r="K294" s="4" t="s">
        <v>90</v>
      </c>
      <c r="L294">
        <f t="shared" si="8"/>
        <v>0</v>
      </c>
      <c r="N294">
        <f t="shared" si="9"/>
        <v>1</v>
      </c>
    </row>
    <row r="295" spans="1:14" ht="35.25">
      <c r="A295">
        <v>294</v>
      </c>
      <c r="B295" s="2" t="s">
        <v>830</v>
      </c>
      <c r="C295" s="2">
        <v>1962</v>
      </c>
      <c r="D295" s="2" t="s">
        <v>261</v>
      </c>
      <c r="E295" s="2" t="s">
        <v>60</v>
      </c>
      <c r="F295" s="2">
        <v>8.1</v>
      </c>
      <c r="G295" s="2">
        <v>75</v>
      </c>
      <c r="H295" s="2" t="s">
        <v>831</v>
      </c>
      <c r="I295" s="2" t="s">
        <v>573</v>
      </c>
      <c r="J295" s="2">
        <v>50058</v>
      </c>
      <c r="K295" s="3">
        <v>4050000</v>
      </c>
      <c r="L295">
        <f t="shared" si="8"/>
        <v>0</v>
      </c>
      <c r="N295">
        <f t="shared" si="9"/>
        <v>0</v>
      </c>
    </row>
    <row r="296" spans="1:14" ht="25.5">
      <c r="A296">
        <v>295</v>
      </c>
      <c r="B296" s="2" t="s">
        <v>832</v>
      </c>
      <c r="C296" s="2">
        <v>1962</v>
      </c>
      <c r="D296" s="2" t="s">
        <v>34</v>
      </c>
      <c r="E296" s="2" t="s">
        <v>27</v>
      </c>
      <c r="F296" s="2">
        <v>8.1</v>
      </c>
      <c r="G296" s="4" t="s">
        <v>90</v>
      </c>
      <c r="H296" s="2" t="s">
        <v>134</v>
      </c>
      <c r="I296" s="2" t="s">
        <v>135</v>
      </c>
      <c r="J296" s="2">
        <v>33044</v>
      </c>
      <c r="K296" s="4" t="s">
        <v>90</v>
      </c>
      <c r="L296">
        <f t="shared" si="8"/>
        <v>0</v>
      </c>
      <c r="N296">
        <f t="shared" si="9"/>
        <v>1</v>
      </c>
    </row>
    <row r="297" spans="1:14" ht="35.25">
      <c r="A297">
        <v>296</v>
      </c>
      <c r="B297" s="2" t="s">
        <v>833</v>
      </c>
      <c r="C297" s="2">
        <v>1962</v>
      </c>
      <c r="D297" s="2" t="s">
        <v>308</v>
      </c>
      <c r="E297" s="2" t="s">
        <v>60</v>
      </c>
      <c r="F297" s="2">
        <v>8.1</v>
      </c>
      <c r="G297" s="2">
        <v>94</v>
      </c>
      <c r="H297" s="2" t="s">
        <v>834</v>
      </c>
      <c r="I297" s="2" t="s">
        <v>138</v>
      </c>
      <c r="J297" s="2">
        <v>68827</v>
      </c>
      <c r="K297" s="4" t="s">
        <v>90</v>
      </c>
      <c r="L297">
        <f t="shared" si="8"/>
        <v>0</v>
      </c>
      <c r="N297">
        <f t="shared" si="9"/>
        <v>1</v>
      </c>
    </row>
    <row r="298" spans="1:14" ht="25.5">
      <c r="A298">
        <v>297</v>
      </c>
      <c r="B298" s="2" t="s">
        <v>835</v>
      </c>
      <c r="C298" s="2">
        <v>1962</v>
      </c>
      <c r="D298" s="2" t="s">
        <v>280</v>
      </c>
      <c r="E298" s="2" t="s">
        <v>60</v>
      </c>
      <c r="F298" s="2">
        <v>8.1</v>
      </c>
      <c r="G298" s="4" t="s">
        <v>90</v>
      </c>
      <c r="H298" s="2" t="s">
        <v>528</v>
      </c>
      <c r="I298" s="2" t="s">
        <v>836</v>
      </c>
      <c r="J298" s="2">
        <v>31728</v>
      </c>
      <c r="K298" s="4" t="s">
        <v>90</v>
      </c>
      <c r="L298">
        <f t="shared" si="8"/>
        <v>0</v>
      </c>
      <c r="N298">
        <f t="shared" si="9"/>
        <v>1</v>
      </c>
    </row>
    <row r="299" spans="1:14" ht="25.5">
      <c r="A299">
        <v>298</v>
      </c>
      <c r="B299" s="2" t="s">
        <v>837</v>
      </c>
      <c r="C299" s="2">
        <v>1960</v>
      </c>
      <c r="D299" s="2" t="s">
        <v>185</v>
      </c>
      <c r="E299" s="2" t="s">
        <v>17</v>
      </c>
      <c r="F299" s="2">
        <v>8.1</v>
      </c>
      <c r="G299" s="4" t="s">
        <v>90</v>
      </c>
      <c r="H299" s="2" t="s">
        <v>531</v>
      </c>
      <c r="I299" s="2" t="s">
        <v>561</v>
      </c>
      <c r="J299" s="2">
        <v>26697</v>
      </c>
      <c r="K299" s="3">
        <v>1526000</v>
      </c>
      <c r="L299">
        <f t="shared" si="8"/>
        <v>0</v>
      </c>
      <c r="N299">
        <f t="shared" si="9"/>
        <v>0</v>
      </c>
    </row>
    <row r="300" spans="1:14" ht="25.5">
      <c r="A300">
        <v>299</v>
      </c>
      <c r="B300" s="2" t="s">
        <v>838</v>
      </c>
      <c r="C300" s="2">
        <v>1960</v>
      </c>
      <c r="D300" s="2" t="s">
        <v>385</v>
      </c>
      <c r="E300" s="2" t="s">
        <v>47</v>
      </c>
      <c r="F300" s="2">
        <v>8.1</v>
      </c>
      <c r="G300" s="2">
        <v>75</v>
      </c>
      <c r="H300" s="2" t="s">
        <v>554</v>
      </c>
      <c r="I300" s="2" t="s">
        <v>555</v>
      </c>
      <c r="J300" s="2">
        <v>27254</v>
      </c>
      <c r="K300" s="4" t="s">
        <v>90</v>
      </c>
      <c r="L300">
        <f t="shared" si="8"/>
        <v>0</v>
      </c>
      <c r="N300">
        <f t="shared" si="9"/>
        <v>1</v>
      </c>
    </row>
    <row r="301" spans="1:14" ht="25.5">
      <c r="A301">
        <v>300</v>
      </c>
      <c r="B301" s="2" t="s">
        <v>839</v>
      </c>
      <c r="C301" s="2">
        <v>1959</v>
      </c>
      <c r="D301" s="2" t="s">
        <v>348</v>
      </c>
      <c r="E301" s="2" t="s">
        <v>22</v>
      </c>
      <c r="F301" s="2">
        <v>8.1</v>
      </c>
      <c r="G301" s="4" t="s">
        <v>90</v>
      </c>
      <c r="H301" s="2" t="s">
        <v>840</v>
      </c>
      <c r="I301" s="2" t="s">
        <v>841</v>
      </c>
      <c r="J301" s="2">
        <v>105291</v>
      </c>
      <c r="K301" s="4" t="s">
        <v>90</v>
      </c>
      <c r="L301">
        <f t="shared" si="8"/>
        <v>0</v>
      </c>
      <c r="N301">
        <f t="shared" si="9"/>
        <v>1</v>
      </c>
    </row>
    <row r="302" spans="1:14" ht="23.25">
      <c r="A302">
        <v>301</v>
      </c>
      <c r="B302" s="2" t="s">
        <v>842</v>
      </c>
      <c r="C302" s="2">
        <v>1959</v>
      </c>
      <c r="D302" s="2" t="s">
        <v>843</v>
      </c>
      <c r="E302" s="2" t="s">
        <v>102</v>
      </c>
      <c r="F302" s="2">
        <v>8.1</v>
      </c>
      <c r="G302" s="2">
        <v>90</v>
      </c>
      <c r="H302" s="2" t="s">
        <v>844</v>
      </c>
      <c r="I302" s="2" t="s">
        <v>845</v>
      </c>
      <c r="J302" s="2">
        <v>219466</v>
      </c>
      <c r="K302" s="3">
        <v>74700000</v>
      </c>
      <c r="L302">
        <f t="shared" si="8"/>
        <v>0</v>
      </c>
      <c r="N302">
        <f t="shared" si="9"/>
        <v>1</v>
      </c>
    </row>
    <row r="303" spans="1:14" ht="25.5">
      <c r="A303">
        <v>302</v>
      </c>
      <c r="B303" s="2" t="s">
        <v>846</v>
      </c>
      <c r="C303" s="2">
        <v>1958</v>
      </c>
      <c r="D303" s="2" t="s">
        <v>54</v>
      </c>
      <c r="E303" s="2" t="s">
        <v>102</v>
      </c>
      <c r="F303" s="2">
        <v>8.1</v>
      </c>
      <c r="G303" s="4" t="s">
        <v>90</v>
      </c>
      <c r="H303" s="2" t="s">
        <v>134</v>
      </c>
      <c r="I303" s="2" t="s">
        <v>135</v>
      </c>
      <c r="J303" s="2">
        <v>34797</v>
      </c>
      <c r="K303" s="4" t="s">
        <v>90</v>
      </c>
      <c r="L303">
        <f t="shared" si="8"/>
        <v>0</v>
      </c>
      <c r="N303">
        <f t="shared" si="9"/>
        <v>1</v>
      </c>
    </row>
    <row r="304" spans="1:14" ht="25.5">
      <c r="A304">
        <v>303</v>
      </c>
      <c r="B304" s="2" t="s">
        <v>847</v>
      </c>
      <c r="C304" s="2">
        <v>1957</v>
      </c>
      <c r="D304" s="2" t="s">
        <v>170</v>
      </c>
      <c r="E304" s="2" t="s">
        <v>17</v>
      </c>
      <c r="F304" s="2">
        <v>8.1</v>
      </c>
      <c r="G304" s="4" t="s">
        <v>90</v>
      </c>
      <c r="H304" s="2" t="s">
        <v>848</v>
      </c>
      <c r="I304" s="2" t="s">
        <v>849</v>
      </c>
      <c r="J304" s="2">
        <v>42940</v>
      </c>
      <c r="K304" s="3">
        <v>752045</v>
      </c>
      <c r="L304">
        <f t="shared" si="8"/>
        <v>0</v>
      </c>
      <c r="N304">
        <f t="shared" si="9"/>
        <v>0</v>
      </c>
    </row>
    <row r="305" spans="1:14" ht="25.5">
      <c r="A305">
        <v>304</v>
      </c>
      <c r="B305" s="2" t="s">
        <v>850</v>
      </c>
      <c r="C305" s="2">
        <v>1957</v>
      </c>
      <c r="D305" s="2" t="s">
        <v>170</v>
      </c>
      <c r="E305" s="2" t="s">
        <v>60</v>
      </c>
      <c r="F305" s="2">
        <v>8.1</v>
      </c>
      <c r="G305" s="4" t="s">
        <v>90</v>
      </c>
      <c r="H305" s="2" t="s">
        <v>134</v>
      </c>
      <c r="I305" s="2" t="s">
        <v>135</v>
      </c>
      <c r="J305" s="2">
        <v>46678</v>
      </c>
      <c r="K305" s="4" t="s">
        <v>90</v>
      </c>
      <c r="L305">
        <f t="shared" si="8"/>
        <v>0</v>
      </c>
      <c r="N305">
        <f t="shared" si="9"/>
        <v>1</v>
      </c>
    </row>
    <row r="306" spans="1:14" ht="23.25">
      <c r="A306">
        <v>305</v>
      </c>
      <c r="B306" s="2" t="s">
        <v>851</v>
      </c>
      <c r="C306" s="2">
        <v>1957</v>
      </c>
      <c r="D306" s="2" t="s">
        <v>64</v>
      </c>
      <c r="E306" s="2" t="s">
        <v>102</v>
      </c>
      <c r="F306" s="2">
        <v>8.1</v>
      </c>
      <c r="G306" s="2">
        <v>87</v>
      </c>
      <c r="H306" s="2" t="s">
        <v>378</v>
      </c>
      <c r="I306" s="2" t="s">
        <v>290</v>
      </c>
      <c r="J306" s="2">
        <v>203463</v>
      </c>
      <c r="K306" s="3">
        <v>44908000</v>
      </c>
      <c r="L306">
        <f t="shared" si="8"/>
        <v>0</v>
      </c>
      <c r="N306">
        <f t="shared" si="9"/>
        <v>0</v>
      </c>
    </row>
    <row r="307" spans="1:14" ht="23.25">
      <c r="A307">
        <v>306</v>
      </c>
      <c r="B307" s="2" t="s">
        <v>852</v>
      </c>
      <c r="C307" s="2">
        <v>1954</v>
      </c>
      <c r="D307" s="2" t="s">
        <v>323</v>
      </c>
      <c r="E307" s="2" t="s">
        <v>22</v>
      </c>
      <c r="F307" s="2">
        <v>8.1</v>
      </c>
      <c r="G307" s="2">
        <v>91</v>
      </c>
      <c r="H307" s="2" t="s">
        <v>853</v>
      </c>
      <c r="I307" s="2" t="s">
        <v>24</v>
      </c>
      <c r="J307" s="2">
        <v>142107</v>
      </c>
      <c r="K307" s="3">
        <v>9600000</v>
      </c>
      <c r="L307">
        <f t="shared" si="8"/>
        <v>0</v>
      </c>
      <c r="N307">
        <f t="shared" si="9"/>
        <v>0</v>
      </c>
    </row>
    <row r="308" spans="1:14" ht="35.25">
      <c r="A308">
        <v>307</v>
      </c>
      <c r="B308" s="2" t="s">
        <v>854</v>
      </c>
      <c r="C308" s="2">
        <v>1953</v>
      </c>
      <c r="D308" s="2" t="s">
        <v>312</v>
      </c>
      <c r="E308" s="2" t="s">
        <v>102</v>
      </c>
      <c r="F308" s="2">
        <v>8.1</v>
      </c>
      <c r="G308" s="2">
        <v>85</v>
      </c>
      <c r="H308" s="2" t="s">
        <v>855</v>
      </c>
      <c r="I308" s="2" t="s">
        <v>856</v>
      </c>
      <c r="J308" s="2">
        <v>54588</v>
      </c>
      <c r="K308" s="4" t="s">
        <v>90</v>
      </c>
      <c r="L308">
        <f t="shared" si="8"/>
        <v>0</v>
      </c>
      <c r="N308">
        <f t="shared" si="9"/>
        <v>1</v>
      </c>
    </row>
    <row r="309" spans="1:14" ht="23.25">
      <c r="A309">
        <v>308</v>
      </c>
      <c r="B309" s="2" t="s">
        <v>857</v>
      </c>
      <c r="C309" s="2">
        <v>1951</v>
      </c>
      <c r="D309" s="2" t="s">
        <v>708</v>
      </c>
      <c r="E309" s="2" t="s">
        <v>60</v>
      </c>
      <c r="F309" s="2">
        <v>8.1</v>
      </c>
      <c r="G309" s="2">
        <v>72</v>
      </c>
      <c r="H309" s="2" t="s">
        <v>284</v>
      </c>
      <c r="I309" s="2" t="s">
        <v>287</v>
      </c>
      <c r="J309" s="2">
        <v>31568</v>
      </c>
      <c r="K309" s="3">
        <v>3969893</v>
      </c>
      <c r="L309">
        <f t="shared" si="8"/>
        <v>0</v>
      </c>
      <c r="N309">
        <f t="shared" si="9"/>
        <v>0</v>
      </c>
    </row>
    <row r="310" spans="1:14" ht="25.5">
      <c r="A310">
        <v>309</v>
      </c>
      <c r="B310" s="2" t="s">
        <v>858</v>
      </c>
      <c r="C310" s="2">
        <v>1949</v>
      </c>
      <c r="D310" s="2" t="s">
        <v>366</v>
      </c>
      <c r="E310" s="2" t="s">
        <v>27</v>
      </c>
      <c r="F310" s="2">
        <v>8.1</v>
      </c>
      <c r="G310" s="4" t="s">
        <v>90</v>
      </c>
      <c r="H310" s="2" t="s">
        <v>859</v>
      </c>
      <c r="I310" s="2" t="s">
        <v>860</v>
      </c>
      <c r="J310" s="2">
        <v>29807</v>
      </c>
      <c r="K310" s="4" t="s">
        <v>90</v>
      </c>
      <c r="L310">
        <f t="shared" si="8"/>
        <v>0</v>
      </c>
      <c r="N310">
        <f t="shared" si="9"/>
        <v>1</v>
      </c>
    </row>
    <row r="311" spans="1:14" ht="23.25">
      <c r="A311">
        <v>310</v>
      </c>
      <c r="B311" s="2" t="s">
        <v>861</v>
      </c>
      <c r="C311" s="2">
        <v>1949</v>
      </c>
      <c r="D311" s="2" t="s">
        <v>295</v>
      </c>
      <c r="E311" s="2" t="s">
        <v>862</v>
      </c>
      <c r="F311" s="2">
        <v>8.1</v>
      </c>
      <c r="G311" s="2">
        <v>97</v>
      </c>
      <c r="H311" s="2" t="s">
        <v>863</v>
      </c>
      <c r="I311" s="2" t="s">
        <v>399</v>
      </c>
      <c r="J311" s="2">
        <v>158731</v>
      </c>
      <c r="K311" s="3">
        <v>449191</v>
      </c>
      <c r="L311">
        <f t="shared" si="8"/>
        <v>0</v>
      </c>
      <c r="N311">
        <f t="shared" si="9"/>
        <v>0</v>
      </c>
    </row>
    <row r="312" spans="1:14" ht="25.5">
      <c r="A312">
        <v>311</v>
      </c>
      <c r="B312" s="2" t="s">
        <v>864</v>
      </c>
      <c r="C312" s="2">
        <v>1948</v>
      </c>
      <c r="D312" s="2" t="s">
        <v>454</v>
      </c>
      <c r="E312" s="2" t="s">
        <v>60</v>
      </c>
      <c r="F312" s="2">
        <v>8.1</v>
      </c>
      <c r="G312" s="4" t="s">
        <v>90</v>
      </c>
      <c r="H312" s="2" t="s">
        <v>865</v>
      </c>
      <c r="I312" s="2" t="s">
        <v>866</v>
      </c>
      <c r="J312" s="2">
        <v>30935</v>
      </c>
      <c r="K312" s="3">
        <v>10900000</v>
      </c>
      <c r="L312">
        <f t="shared" si="8"/>
        <v>0</v>
      </c>
      <c r="N312">
        <f t="shared" si="9"/>
        <v>0</v>
      </c>
    </row>
    <row r="313" spans="1:14" ht="35.25">
      <c r="A313">
        <v>312</v>
      </c>
      <c r="B313" s="2" t="s">
        <v>867</v>
      </c>
      <c r="C313" s="2">
        <v>1940</v>
      </c>
      <c r="D313" s="2" t="s">
        <v>348</v>
      </c>
      <c r="E313" s="2" t="s">
        <v>93</v>
      </c>
      <c r="F313" s="2">
        <v>8.1</v>
      </c>
      <c r="G313" s="2">
        <v>96</v>
      </c>
      <c r="H313" s="2" t="s">
        <v>577</v>
      </c>
      <c r="I313" s="2" t="s">
        <v>868</v>
      </c>
      <c r="J313" s="2">
        <v>28450</v>
      </c>
      <c r="K313" s="3">
        <v>203300</v>
      </c>
      <c r="L313">
        <f t="shared" si="8"/>
        <v>0</v>
      </c>
      <c r="N313">
        <f t="shared" si="9"/>
        <v>0</v>
      </c>
    </row>
    <row r="314" spans="1:14" ht="23.25">
      <c r="A314">
        <v>313</v>
      </c>
      <c r="B314" s="2" t="s">
        <v>869</v>
      </c>
      <c r="C314" s="2">
        <v>1940</v>
      </c>
      <c r="D314" s="2" t="s">
        <v>105</v>
      </c>
      <c r="E314" s="2" t="s">
        <v>60</v>
      </c>
      <c r="F314" s="2">
        <v>8.1</v>
      </c>
      <c r="G314" s="2">
        <v>86</v>
      </c>
      <c r="H314" s="2" t="s">
        <v>195</v>
      </c>
      <c r="I314" s="2" t="s">
        <v>870</v>
      </c>
      <c r="J314" s="2">
        <v>123942</v>
      </c>
      <c r="K314" s="3">
        <v>4360000</v>
      </c>
      <c r="L314">
        <f t="shared" si="8"/>
        <v>0</v>
      </c>
      <c r="N314">
        <f t="shared" si="9"/>
        <v>0</v>
      </c>
    </row>
    <row r="315" spans="1:14" ht="23.25">
      <c r="A315">
        <v>314</v>
      </c>
      <c r="B315" s="2" t="s">
        <v>871</v>
      </c>
      <c r="C315" s="2">
        <v>1939</v>
      </c>
      <c r="D315" s="2" t="s">
        <v>368</v>
      </c>
      <c r="E315" s="2" t="s">
        <v>93</v>
      </c>
      <c r="F315" s="2">
        <v>8.1</v>
      </c>
      <c r="G315" s="2">
        <v>73</v>
      </c>
      <c r="H315" s="2" t="s">
        <v>137</v>
      </c>
      <c r="I315" s="2" t="s">
        <v>138</v>
      </c>
      <c r="J315" s="2">
        <v>107017</v>
      </c>
      <c r="K315" s="3">
        <v>9600000</v>
      </c>
      <c r="L315">
        <f t="shared" si="8"/>
        <v>0</v>
      </c>
      <c r="N315">
        <f t="shared" si="9"/>
        <v>0</v>
      </c>
    </row>
    <row r="316" spans="1:14" ht="23.25">
      <c r="A316">
        <v>315</v>
      </c>
      <c r="B316" s="2" t="s">
        <v>872</v>
      </c>
      <c r="C316" s="2">
        <v>1939</v>
      </c>
      <c r="D316" s="2" t="s">
        <v>873</v>
      </c>
      <c r="E316" s="2" t="s">
        <v>60</v>
      </c>
      <c r="F316" s="2">
        <v>8.1</v>
      </c>
      <c r="G316" s="2">
        <v>97</v>
      </c>
      <c r="H316" s="2" t="s">
        <v>874</v>
      </c>
      <c r="I316" s="2" t="s">
        <v>875</v>
      </c>
      <c r="J316" s="2">
        <v>290074</v>
      </c>
      <c r="K316" s="3">
        <v>198676459</v>
      </c>
      <c r="L316">
        <f t="shared" si="8"/>
        <v>0</v>
      </c>
      <c r="N316">
        <f t="shared" si="9"/>
        <v>1</v>
      </c>
    </row>
    <row r="317" spans="1:14" ht="25.5">
      <c r="A317">
        <v>316</v>
      </c>
      <c r="B317" s="2" t="s">
        <v>876</v>
      </c>
      <c r="C317" s="2">
        <v>1937</v>
      </c>
      <c r="D317" s="2" t="s">
        <v>257</v>
      </c>
      <c r="E317" s="2" t="s">
        <v>60</v>
      </c>
      <c r="F317" s="2">
        <v>8.1</v>
      </c>
      <c r="G317" s="4" t="s">
        <v>90</v>
      </c>
      <c r="H317" s="2" t="s">
        <v>877</v>
      </c>
      <c r="I317" s="2" t="s">
        <v>878</v>
      </c>
      <c r="J317" s="2">
        <v>33829</v>
      </c>
      <c r="K317" s="3">
        <v>172885</v>
      </c>
      <c r="L317">
        <f t="shared" si="8"/>
        <v>0</v>
      </c>
      <c r="N317">
        <f t="shared" si="9"/>
        <v>0</v>
      </c>
    </row>
    <row r="318" spans="1:14" ht="23.25">
      <c r="A318">
        <v>317</v>
      </c>
      <c r="B318" s="2" t="s">
        <v>879</v>
      </c>
      <c r="C318" s="2">
        <v>1934</v>
      </c>
      <c r="D318" s="2" t="s">
        <v>233</v>
      </c>
      <c r="E318" s="2" t="s">
        <v>93</v>
      </c>
      <c r="F318" s="2">
        <v>8.1</v>
      </c>
      <c r="G318" s="2">
        <v>87</v>
      </c>
      <c r="H318" s="2" t="s">
        <v>137</v>
      </c>
      <c r="I318" s="2" t="s">
        <v>880</v>
      </c>
      <c r="J318" s="2">
        <v>94016</v>
      </c>
      <c r="K318" s="3">
        <v>4360000</v>
      </c>
      <c r="L318">
        <f t="shared" si="8"/>
        <v>0</v>
      </c>
      <c r="N318">
        <f t="shared" si="9"/>
        <v>0</v>
      </c>
    </row>
    <row r="319" spans="1:14" ht="35.25">
      <c r="A319">
        <v>318</v>
      </c>
      <c r="B319" s="2" t="s">
        <v>881</v>
      </c>
      <c r="C319" s="2">
        <v>1928</v>
      </c>
      <c r="D319" s="2" t="s">
        <v>170</v>
      </c>
      <c r="E319" s="2" t="s">
        <v>47</v>
      </c>
      <c r="F319" s="2">
        <v>8.1</v>
      </c>
      <c r="G319" s="4" t="s">
        <v>90</v>
      </c>
      <c r="H319" s="2" t="s">
        <v>882</v>
      </c>
      <c r="I319" s="2" t="s">
        <v>883</v>
      </c>
      <c r="J319" s="2">
        <v>47676</v>
      </c>
      <c r="K319" s="3">
        <v>21877</v>
      </c>
      <c r="L319">
        <f t="shared" si="8"/>
        <v>0</v>
      </c>
      <c r="N319">
        <f t="shared" si="9"/>
        <v>0</v>
      </c>
    </row>
    <row r="320" spans="1:14" ht="25.5">
      <c r="A320">
        <v>319</v>
      </c>
      <c r="B320" s="2" t="s">
        <v>884</v>
      </c>
      <c r="C320" s="2">
        <v>1928</v>
      </c>
      <c r="D320" s="2" t="s">
        <v>885</v>
      </c>
      <c r="E320" s="2" t="s">
        <v>93</v>
      </c>
      <c r="F320" s="2">
        <v>8.1</v>
      </c>
      <c r="G320" s="2">
        <v>90</v>
      </c>
      <c r="H320" s="2" t="s">
        <v>203</v>
      </c>
      <c r="I320" s="2" t="s">
        <v>203</v>
      </c>
      <c r="J320" s="2">
        <v>30205</v>
      </c>
      <c r="K320" s="4" t="s">
        <v>90</v>
      </c>
      <c r="L320">
        <f t="shared" si="8"/>
        <v>0</v>
      </c>
      <c r="N320">
        <f t="shared" si="9"/>
        <v>1</v>
      </c>
    </row>
    <row r="321" spans="1:14" ht="25.5">
      <c r="A321">
        <v>320</v>
      </c>
      <c r="B321" s="2" t="s">
        <v>886</v>
      </c>
      <c r="C321" s="2">
        <v>1927</v>
      </c>
      <c r="D321" s="2" t="s">
        <v>792</v>
      </c>
      <c r="E321" s="2" t="s">
        <v>60</v>
      </c>
      <c r="F321" s="2">
        <v>8.1</v>
      </c>
      <c r="G321" s="4" t="s">
        <v>90</v>
      </c>
      <c r="H321" s="2" t="s">
        <v>887</v>
      </c>
      <c r="I321" s="2" t="s">
        <v>888</v>
      </c>
      <c r="J321" s="2">
        <v>46865</v>
      </c>
      <c r="K321" s="3">
        <v>539540</v>
      </c>
      <c r="L321">
        <f t="shared" si="8"/>
        <v>0</v>
      </c>
      <c r="N321">
        <f t="shared" si="9"/>
        <v>0</v>
      </c>
    </row>
    <row r="322" spans="1:14" ht="25.5">
      <c r="A322">
        <v>321</v>
      </c>
      <c r="B322" s="2" t="s">
        <v>889</v>
      </c>
      <c r="C322" s="2">
        <v>1926</v>
      </c>
      <c r="D322" s="2" t="s">
        <v>890</v>
      </c>
      <c r="E322" s="2" t="s">
        <v>27</v>
      </c>
      <c r="F322" s="2">
        <v>8.1</v>
      </c>
      <c r="G322" s="4" t="s">
        <v>90</v>
      </c>
      <c r="H322" s="2" t="s">
        <v>891</v>
      </c>
      <c r="I322" s="2" t="s">
        <v>582</v>
      </c>
      <c r="J322" s="2">
        <v>81156</v>
      </c>
      <c r="K322" s="3">
        <v>1033895</v>
      </c>
      <c r="L322">
        <f t="shared" si="8"/>
        <v>0</v>
      </c>
      <c r="N322">
        <f t="shared" si="9"/>
        <v>0</v>
      </c>
    </row>
    <row r="323" spans="1:14" ht="25.5">
      <c r="A323">
        <v>322</v>
      </c>
      <c r="B323" s="2" t="s">
        <v>892</v>
      </c>
      <c r="C323" s="2">
        <v>1920</v>
      </c>
      <c r="D323" s="2" t="s">
        <v>893</v>
      </c>
      <c r="E323" s="2" t="s">
        <v>894</v>
      </c>
      <c r="F323" s="2">
        <v>8.1</v>
      </c>
      <c r="G323" s="4" t="s">
        <v>90</v>
      </c>
      <c r="H323" s="2" t="s">
        <v>895</v>
      </c>
      <c r="I323" s="2" t="s">
        <v>896</v>
      </c>
      <c r="J323" s="2">
        <v>57428</v>
      </c>
      <c r="K323" s="4" t="s">
        <v>90</v>
      </c>
      <c r="L323">
        <f t="shared" ref="L323:L386" si="10">IF(AND(F323&gt;=8.2, G323&gt;8.2), 1, 0)</f>
        <v>0</v>
      </c>
      <c r="N323">
        <f t="shared" ref="N323:N386" si="11">IF(K323&gt;=50000000, 1, 0)</f>
        <v>1</v>
      </c>
    </row>
    <row r="324" spans="1:14" ht="35.25">
      <c r="A324">
        <v>323</v>
      </c>
      <c r="B324" s="2" t="s">
        <v>897</v>
      </c>
      <c r="C324" s="2">
        <v>2018</v>
      </c>
      <c r="D324" s="2" t="s">
        <v>79</v>
      </c>
      <c r="E324" s="2" t="s">
        <v>93</v>
      </c>
      <c r="F324" s="2">
        <v>8</v>
      </c>
      <c r="G324" s="4" t="s">
        <v>90</v>
      </c>
      <c r="H324" s="2" t="s">
        <v>898</v>
      </c>
      <c r="I324" s="2" t="s">
        <v>300</v>
      </c>
      <c r="J324" s="2">
        <v>27978</v>
      </c>
      <c r="K324" s="4" t="s">
        <v>90</v>
      </c>
      <c r="L324">
        <f t="shared" si="10"/>
        <v>0</v>
      </c>
      <c r="N324">
        <f t="shared" si="11"/>
        <v>1</v>
      </c>
    </row>
    <row r="325" spans="1:14" ht="25.5">
      <c r="A325">
        <v>324</v>
      </c>
      <c r="B325" s="2" t="s">
        <v>899</v>
      </c>
      <c r="C325" s="2">
        <v>2019</v>
      </c>
      <c r="D325" s="2" t="s">
        <v>257</v>
      </c>
      <c r="E325" s="2" t="s">
        <v>102</v>
      </c>
      <c r="F325" s="2">
        <v>8</v>
      </c>
      <c r="G325" s="2">
        <v>69</v>
      </c>
      <c r="H325" s="2" t="s">
        <v>900</v>
      </c>
      <c r="I325" s="2" t="s">
        <v>901</v>
      </c>
      <c r="J325" s="2">
        <v>37556</v>
      </c>
      <c r="K325" s="4" t="s">
        <v>90</v>
      </c>
      <c r="L325">
        <f t="shared" si="10"/>
        <v>0</v>
      </c>
      <c r="N325">
        <f t="shared" si="11"/>
        <v>1</v>
      </c>
    </row>
    <row r="326" spans="1:14" ht="25.5">
      <c r="A326">
        <v>325</v>
      </c>
      <c r="B326" s="2" t="s">
        <v>902</v>
      </c>
      <c r="C326" s="2">
        <v>2016</v>
      </c>
      <c r="D326" s="2" t="s">
        <v>105</v>
      </c>
      <c r="E326" s="2" t="s">
        <v>60</v>
      </c>
      <c r="F326" s="2">
        <v>8</v>
      </c>
      <c r="G326" s="4" t="s">
        <v>90</v>
      </c>
      <c r="H326" s="2" t="s">
        <v>903</v>
      </c>
      <c r="I326" s="2" t="s">
        <v>500</v>
      </c>
      <c r="J326" s="2">
        <v>52897</v>
      </c>
      <c r="K326" s="4" t="s">
        <v>90</v>
      </c>
      <c r="L326">
        <f t="shared" si="10"/>
        <v>0</v>
      </c>
      <c r="N326">
        <f t="shared" si="11"/>
        <v>1</v>
      </c>
    </row>
    <row r="327" spans="1:14" ht="25.5">
      <c r="A327">
        <v>326</v>
      </c>
      <c r="B327" s="2" t="s">
        <v>904</v>
      </c>
      <c r="C327" s="2">
        <v>2015</v>
      </c>
      <c r="D327" s="2" t="s">
        <v>433</v>
      </c>
      <c r="E327" s="2" t="s">
        <v>27</v>
      </c>
      <c r="F327" s="2">
        <v>8</v>
      </c>
      <c r="G327" s="4" t="s">
        <v>90</v>
      </c>
      <c r="H327" s="2" t="s">
        <v>905</v>
      </c>
      <c r="I327" s="2" t="s">
        <v>906</v>
      </c>
      <c r="J327" s="2">
        <v>72245</v>
      </c>
      <c r="K327" s="3">
        <v>8178001</v>
      </c>
      <c r="L327">
        <f t="shared" si="10"/>
        <v>0</v>
      </c>
      <c r="N327">
        <f t="shared" si="11"/>
        <v>0</v>
      </c>
    </row>
    <row r="328" spans="1:14" ht="25.5">
      <c r="A328">
        <v>327</v>
      </c>
      <c r="B328" s="2" t="s">
        <v>907</v>
      </c>
      <c r="C328" s="2">
        <v>2015</v>
      </c>
      <c r="D328" s="2" t="s">
        <v>908</v>
      </c>
      <c r="E328" s="2" t="s">
        <v>27</v>
      </c>
      <c r="F328" s="2">
        <v>8</v>
      </c>
      <c r="G328" s="4" t="s">
        <v>90</v>
      </c>
      <c r="H328" s="2" t="s">
        <v>663</v>
      </c>
      <c r="I328" s="2" t="s">
        <v>500</v>
      </c>
      <c r="J328" s="2">
        <v>52848</v>
      </c>
      <c r="K328" s="4" t="s">
        <v>90</v>
      </c>
      <c r="L328">
        <f t="shared" si="10"/>
        <v>0</v>
      </c>
      <c r="N328">
        <f t="shared" si="11"/>
        <v>1</v>
      </c>
    </row>
    <row r="329" spans="1:14" ht="23.25">
      <c r="A329">
        <v>328</v>
      </c>
      <c r="B329" s="2" t="s">
        <v>909</v>
      </c>
      <c r="C329" s="2">
        <v>2016</v>
      </c>
      <c r="D329" s="2" t="s">
        <v>385</v>
      </c>
      <c r="E329" s="2" t="s">
        <v>93</v>
      </c>
      <c r="F329" s="2">
        <v>8</v>
      </c>
      <c r="G329" s="2">
        <v>94</v>
      </c>
      <c r="H329" s="2" t="s">
        <v>145</v>
      </c>
      <c r="I329" s="2" t="s">
        <v>910</v>
      </c>
      <c r="J329" s="2">
        <v>505918</v>
      </c>
      <c r="K329" s="3">
        <v>151101803</v>
      </c>
      <c r="L329">
        <f t="shared" si="10"/>
        <v>0</v>
      </c>
      <c r="N329">
        <f t="shared" si="11"/>
        <v>1</v>
      </c>
    </row>
    <row r="330" spans="1:14" ht="14.25">
      <c r="A330">
        <v>329</v>
      </c>
      <c r="B330" s="2" t="s">
        <v>911</v>
      </c>
      <c r="C330" s="2">
        <v>2016</v>
      </c>
      <c r="D330" s="2" t="s">
        <v>123</v>
      </c>
      <c r="E330" s="2" t="s">
        <v>47</v>
      </c>
      <c r="F330" s="2">
        <v>8</v>
      </c>
      <c r="G330" s="2">
        <v>69</v>
      </c>
      <c r="H330" s="2" t="s">
        <v>912</v>
      </c>
      <c r="I330" s="2" t="s">
        <v>913</v>
      </c>
      <c r="J330" s="2">
        <v>213970</v>
      </c>
      <c r="K330" s="3">
        <v>51739495</v>
      </c>
      <c r="L330">
        <f t="shared" si="10"/>
        <v>0</v>
      </c>
      <c r="N330">
        <f t="shared" si="11"/>
        <v>1</v>
      </c>
    </row>
    <row r="331" spans="1:14" ht="23.25">
      <c r="A331">
        <v>330</v>
      </c>
      <c r="B331" s="2" t="s">
        <v>914</v>
      </c>
      <c r="C331" s="2">
        <v>2015</v>
      </c>
      <c r="D331" s="2" t="s">
        <v>689</v>
      </c>
      <c r="E331" s="2" t="s">
        <v>102</v>
      </c>
      <c r="F331" s="2">
        <v>8</v>
      </c>
      <c r="G331" s="2">
        <v>80</v>
      </c>
      <c r="H331" s="2" t="s">
        <v>160</v>
      </c>
      <c r="I331" s="2" t="s">
        <v>644</v>
      </c>
      <c r="J331" s="2">
        <v>760094</v>
      </c>
      <c r="K331" s="3">
        <v>228433663</v>
      </c>
      <c r="L331">
        <f t="shared" si="10"/>
        <v>0</v>
      </c>
      <c r="N331">
        <f t="shared" si="11"/>
        <v>1</v>
      </c>
    </row>
    <row r="332" spans="1:14" ht="23.25">
      <c r="A332">
        <v>331</v>
      </c>
      <c r="B332" s="2" t="s">
        <v>915</v>
      </c>
      <c r="C332" s="2">
        <v>2016</v>
      </c>
      <c r="D332" s="2" t="s">
        <v>323</v>
      </c>
      <c r="E332" s="2" t="s">
        <v>110</v>
      </c>
      <c r="F332" s="2">
        <v>8</v>
      </c>
      <c r="G332" s="2">
        <v>78</v>
      </c>
      <c r="H332" s="2" t="s">
        <v>916</v>
      </c>
      <c r="I332" s="2" t="s">
        <v>917</v>
      </c>
      <c r="J332" s="2">
        <v>434143</v>
      </c>
      <c r="K332" s="3">
        <v>341268248</v>
      </c>
      <c r="L332">
        <f t="shared" si="10"/>
        <v>0</v>
      </c>
      <c r="N332">
        <f t="shared" si="11"/>
        <v>1</v>
      </c>
    </row>
    <row r="333" spans="1:14" ht="25.5">
      <c r="A333">
        <v>332</v>
      </c>
      <c r="B333" s="2" t="s">
        <v>918</v>
      </c>
      <c r="C333" s="2">
        <v>2015</v>
      </c>
      <c r="D333" s="2" t="s">
        <v>908</v>
      </c>
      <c r="E333" s="2" t="s">
        <v>27</v>
      </c>
      <c r="F333" s="2">
        <v>8</v>
      </c>
      <c r="G333" s="4" t="s">
        <v>90</v>
      </c>
      <c r="H333" s="2" t="s">
        <v>428</v>
      </c>
      <c r="I333" s="2" t="s">
        <v>429</v>
      </c>
      <c r="J333" s="2">
        <v>102972</v>
      </c>
      <c r="K333" s="3">
        <v>6738000</v>
      </c>
      <c r="L333">
        <f t="shared" si="10"/>
        <v>0</v>
      </c>
      <c r="N333">
        <f t="shared" si="11"/>
        <v>0</v>
      </c>
    </row>
    <row r="334" spans="1:14" ht="23.25">
      <c r="A334">
        <v>333</v>
      </c>
      <c r="B334" s="2" t="s">
        <v>919</v>
      </c>
      <c r="C334" s="2">
        <v>2013</v>
      </c>
      <c r="D334" s="2" t="s">
        <v>178</v>
      </c>
      <c r="E334" s="2" t="s">
        <v>110</v>
      </c>
      <c r="F334" s="2">
        <v>8</v>
      </c>
      <c r="G334" s="2">
        <v>89</v>
      </c>
      <c r="H334" s="2" t="s">
        <v>186</v>
      </c>
      <c r="I334" s="2" t="s">
        <v>920</v>
      </c>
      <c r="J334" s="2">
        <v>38746</v>
      </c>
      <c r="K334" s="3">
        <v>1506975</v>
      </c>
      <c r="L334">
        <f t="shared" si="10"/>
        <v>0</v>
      </c>
      <c r="N334">
        <f t="shared" si="11"/>
        <v>0</v>
      </c>
    </row>
    <row r="335" spans="1:14" ht="23.25">
      <c r="A335">
        <v>334</v>
      </c>
      <c r="B335" s="2" t="s">
        <v>921</v>
      </c>
      <c r="C335" s="2">
        <v>2017</v>
      </c>
      <c r="D335" s="2" t="s">
        <v>257</v>
      </c>
      <c r="E335" s="2" t="s">
        <v>60</v>
      </c>
      <c r="F335" s="2">
        <v>8</v>
      </c>
      <c r="G335" s="2">
        <v>66</v>
      </c>
      <c r="H335" s="2" t="s">
        <v>922</v>
      </c>
      <c r="I335" s="2" t="s">
        <v>923</v>
      </c>
      <c r="J335" s="2">
        <v>141923</v>
      </c>
      <c r="K335" s="3">
        <v>132422809</v>
      </c>
      <c r="L335">
        <f t="shared" si="10"/>
        <v>0</v>
      </c>
      <c r="N335">
        <f t="shared" si="11"/>
        <v>1</v>
      </c>
    </row>
    <row r="336" spans="1:14" ht="14.25">
      <c r="A336">
        <v>335</v>
      </c>
      <c r="B336" s="2" t="s">
        <v>924</v>
      </c>
      <c r="C336" s="2">
        <v>2019</v>
      </c>
      <c r="D336" s="2" t="s">
        <v>42</v>
      </c>
      <c r="E336" s="2" t="s">
        <v>60</v>
      </c>
      <c r="F336" s="2">
        <v>8</v>
      </c>
      <c r="G336" s="2">
        <v>65</v>
      </c>
      <c r="H336" s="2" t="s">
        <v>656</v>
      </c>
      <c r="I336" s="2" t="s">
        <v>925</v>
      </c>
      <c r="J336" s="2">
        <v>31886</v>
      </c>
      <c r="K336" s="3">
        <v>5566534</v>
      </c>
      <c r="L336">
        <f t="shared" si="10"/>
        <v>0</v>
      </c>
      <c r="N336">
        <f t="shared" si="11"/>
        <v>0</v>
      </c>
    </row>
    <row r="337" spans="1:14" ht="25.5">
      <c r="A337">
        <v>336</v>
      </c>
      <c r="B337" s="2" t="s">
        <v>926</v>
      </c>
      <c r="C337" s="2">
        <v>2013</v>
      </c>
      <c r="D337" s="2" t="s">
        <v>689</v>
      </c>
      <c r="E337" s="2" t="s">
        <v>22</v>
      </c>
      <c r="F337" s="2">
        <v>8</v>
      </c>
      <c r="G337" s="4" t="s">
        <v>90</v>
      </c>
      <c r="H337" s="2" t="s">
        <v>663</v>
      </c>
      <c r="I337" s="2" t="s">
        <v>500</v>
      </c>
      <c r="J337" s="2">
        <v>51069</v>
      </c>
      <c r="K337" s="3">
        <v>1079369</v>
      </c>
      <c r="L337">
        <f t="shared" si="10"/>
        <v>0</v>
      </c>
      <c r="N337">
        <f t="shared" si="11"/>
        <v>0</v>
      </c>
    </row>
    <row r="338" spans="1:14" ht="35.25">
      <c r="A338">
        <v>337</v>
      </c>
      <c r="B338" s="2" t="s">
        <v>927</v>
      </c>
      <c r="C338" s="2">
        <v>2013</v>
      </c>
      <c r="D338" s="2" t="s">
        <v>34</v>
      </c>
      <c r="E338" s="2" t="s">
        <v>17</v>
      </c>
      <c r="F338" s="2">
        <v>8</v>
      </c>
      <c r="G338" s="2">
        <v>82</v>
      </c>
      <c r="H338" s="2" t="s">
        <v>928</v>
      </c>
      <c r="I338" s="2" t="s">
        <v>609</v>
      </c>
      <c r="J338" s="2">
        <v>81770</v>
      </c>
      <c r="K338" s="3">
        <v>1010414</v>
      </c>
      <c r="L338">
        <f t="shared" si="10"/>
        <v>0</v>
      </c>
      <c r="N338">
        <f t="shared" si="11"/>
        <v>0</v>
      </c>
    </row>
    <row r="339" spans="1:14" ht="23.25">
      <c r="A339">
        <v>338</v>
      </c>
      <c r="B339" s="2" t="s">
        <v>929</v>
      </c>
      <c r="C339" s="2">
        <v>2014</v>
      </c>
      <c r="D339" s="2" t="s">
        <v>155</v>
      </c>
      <c r="E339" s="2" t="s">
        <v>27</v>
      </c>
      <c r="F339" s="2">
        <v>8</v>
      </c>
      <c r="G339" s="2">
        <v>71</v>
      </c>
      <c r="H339" s="2" t="s">
        <v>930</v>
      </c>
      <c r="I339" s="2" t="s">
        <v>931</v>
      </c>
      <c r="J339" s="2">
        <v>114316</v>
      </c>
      <c r="K339" s="3">
        <v>2625803</v>
      </c>
      <c r="L339">
        <f t="shared" si="10"/>
        <v>0</v>
      </c>
      <c r="N339">
        <f t="shared" si="11"/>
        <v>0</v>
      </c>
    </row>
    <row r="340" spans="1:14" ht="35.25">
      <c r="A340">
        <v>339</v>
      </c>
      <c r="B340" s="2" t="s">
        <v>932</v>
      </c>
      <c r="C340" s="2">
        <v>2014</v>
      </c>
      <c r="D340" s="2" t="s">
        <v>366</v>
      </c>
      <c r="E340" s="2" t="s">
        <v>47</v>
      </c>
      <c r="F340" s="2">
        <v>8</v>
      </c>
      <c r="G340" s="2">
        <v>73</v>
      </c>
      <c r="H340" s="2" t="s">
        <v>933</v>
      </c>
      <c r="I340" s="2" t="s">
        <v>934</v>
      </c>
      <c r="J340" s="2">
        <v>685201</v>
      </c>
      <c r="K340" s="3">
        <v>91125683</v>
      </c>
      <c r="L340">
        <f t="shared" si="10"/>
        <v>0</v>
      </c>
      <c r="N340">
        <f t="shared" si="11"/>
        <v>1</v>
      </c>
    </row>
    <row r="341" spans="1:14" ht="23.25">
      <c r="A341">
        <v>340</v>
      </c>
      <c r="B341" s="2" t="s">
        <v>935</v>
      </c>
      <c r="C341" s="2">
        <v>2014</v>
      </c>
      <c r="D341" s="2" t="s">
        <v>127</v>
      </c>
      <c r="E341" s="2" t="s">
        <v>27</v>
      </c>
      <c r="F341" s="2">
        <v>8</v>
      </c>
      <c r="G341" s="2">
        <v>76</v>
      </c>
      <c r="H341" s="2" t="s">
        <v>936</v>
      </c>
      <c r="I341" s="2" t="s">
        <v>937</v>
      </c>
      <c r="J341" s="2">
        <v>1043455</v>
      </c>
      <c r="K341" s="3">
        <v>333176600</v>
      </c>
      <c r="L341">
        <f t="shared" si="10"/>
        <v>0</v>
      </c>
      <c r="N341">
        <f t="shared" si="11"/>
        <v>1</v>
      </c>
    </row>
    <row r="342" spans="1:14" ht="23.25">
      <c r="A342">
        <v>341</v>
      </c>
      <c r="B342" s="2" t="s">
        <v>938</v>
      </c>
      <c r="C342" s="2">
        <v>2017</v>
      </c>
      <c r="D342" s="2" t="s">
        <v>239</v>
      </c>
      <c r="E342" s="2" t="s">
        <v>27</v>
      </c>
      <c r="F342" s="2">
        <v>8</v>
      </c>
      <c r="G342" s="2">
        <v>81</v>
      </c>
      <c r="H342" s="2" t="s">
        <v>313</v>
      </c>
      <c r="I342" s="2" t="s">
        <v>267</v>
      </c>
      <c r="J342" s="2">
        <v>461823</v>
      </c>
      <c r="K342" s="3">
        <v>92054159</v>
      </c>
      <c r="L342">
        <f t="shared" si="10"/>
        <v>0</v>
      </c>
      <c r="N342">
        <f t="shared" si="11"/>
        <v>1</v>
      </c>
    </row>
    <row r="343" spans="1:14" ht="23.25">
      <c r="A343">
        <v>342</v>
      </c>
      <c r="B343" s="2" t="s">
        <v>939</v>
      </c>
      <c r="C343" s="2">
        <v>2013</v>
      </c>
      <c r="D343" s="2" t="s">
        <v>206</v>
      </c>
      <c r="E343" s="2" t="s">
        <v>60</v>
      </c>
      <c r="F343" s="2">
        <v>8</v>
      </c>
      <c r="G343" s="2">
        <v>90</v>
      </c>
      <c r="H343" s="2" t="s">
        <v>940</v>
      </c>
      <c r="I343" s="2" t="s">
        <v>142</v>
      </c>
      <c r="J343" s="2">
        <v>540772</v>
      </c>
      <c r="K343" s="3">
        <v>25568251</v>
      </c>
      <c r="L343">
        <f t="shared" si="10"/>
        <v>0</v>
      </c>
      <c r="N343">
        <f t="shared" si="11"/>
        <v>0</v>
      </c>
    </row>
    <row r="344" spans="1:14" ht="23.25">
      <c r="A344">
        <v>343</v>
      </c>
      <c r="B344" s="2" t="s">
        <v>941</v>
      </c>
      <c r="C344" s="2">
        <v>2018</v>
      </c>
      <c r="D344" s="2" t="s">
        <v>261</v>
      </c>
      <c r="E344" s="2" t="s">
        <v>47</v>
      </c>
      <c r="F344" s="2">
        <v>8</v>
      </c>
      <c r="G344" s="2">
        <v>49</v>
      </c>
      <c r="H344" s="2" t="s">
        <v>167</v>
      </c>
      <c r="I344" s="2" t="s">
        <v>942</v>
      </c>
      <c r="J344" s="2">
        <v>450349</v>
      </c>
      <c r="K344" s="3">
        <v>216428042</v>
      </c>
      <c r="L344">
        <f t="shared" si="10"/>
        <v>0</v>
      </c>
      <c r="N344">
        <f t="shared" si="11"/>
        <v>1</v>
      </c>
    </row>
    <row r="345" spans="1:14" ht="23.25">
      <c r="A345">
        <v>344</v>
      </c>
      <c r="B345" s="2" t="s">
        <v>943</v>
      </c>
      <c r="C345" s="2">
        <v>2015</v>
      </c>
      <c r="D345" s="2" t="s">
        <v>414</v>
      </c>
      <c r="E345" s="2" t="s">
        <v>27</v>
      </c>
      <c r="F345" s="2">
        <v>8</v>
      </c>
      <c r="G345" s="2">
        <v>76</v>
      </c>
      <c r="H345" s="2" t="s">
        <v>714</v>
      </c>
      <c r="I345" s="2" t="s">
        <v>52</v>
      </c>
      <c r="J345" s="2">
        <v>705589</v>
      </c>
      <c r="K345" s="3">
        <v>183637894</v>
      </c>
      <c r="L345">
        <f t="shared" si="10"/>
        <v>0</v>
      </c>
      <c r="N345">
        <f t="shared" si="11"/>
        <v>1</v>
      </c>
    </row>
    <row r="346" spans="1:14" ht="35.25">
      <c r="A346">
        <v>345</v>
      </c>
      <c r="B346" s="2" t="s">
        <v>944</v>
      </c>
      <c r="C346" s="2">
        <v>2012</v>
      </c>
      <c r="D346" s="2" t="s">
        <v>387</v>
      </c>
      <c r="E346" s="2" t="s">
        <v>60</v>
      </c>
      <c r="F346" s="2">
        <v>8</v>
      </c>
      <c r="G346" s="2">
        <v>67</v>
      </c>
      <c r="H346" s="2" t="s">
        <v>922</v>
      </c>
      <c r="I346" s="2" t="s">
        <v>945</v>
      </c>
      <c r="J346" s="2">
        <v>462252</v>
      </c>
      <c r="K346" s="3">
        <v>17738570</v>
      </c>
      <c r="L346">
        <f t="shared" si="10"/>
        <v>0</v>
      </c>
      <c r="N346">
        <f t="shared" si="11"/>
        <v>0</v>
      </c>
    </row>
    <row r="347" spans="1:14" ht="35.25">
      <c r="A347">
        <v>346</v>
      </c>
      <c r="B347" s="2" t="s">
        <v>946</v>
      </c>
      <c r="C347" s="2">
        <v>2010</v>
      </c>
      <c r="D347" s="2" t="s">
        <v>266</v>
      </c>
      <c r="E347" s="2" t="s">
        <v>27</v>
      </c>
      <c r="F347" s="2">
        <v>8</v>
      </c>
      <c r="G347" s="2">
        <v>71</v>
      </c>
      <c r="H347" s="2" t="s">
        <v>947</v>
      </c>
      <c r="I347" s="2" t="s">
        <v>948</v>
      </c>
      <c r="J347" s="2">
        <v>79200</v>
      </c>
      <c r="K347" s="3">
        <v>100119</v>
      </c>
      <c r="L347">
        <f t="shared" si="10"/>
        <v>0</v>
      </c>
      <c r="N347">
        <f t="shared" si="11"/>
        <v>0</v>
      </c>
    </row>
    <row r="348" spans="1:14" ht="23.25">
      <c r="A348">
        <v>347</v>
      </c>
      <c r="B348" s="2" t="s">
        <v>949</v>
      </c>
      <c r="C348" s="2">
        <v>2010</v>
      </c>
      <c r="D348" s="2" t="s">
        <v>123</v>
      </c>
      <c r="E348" s="2" t="s">
        <v>47</v>
      </c>
      <c r="F348" s="2">
        <v>8</v>
      </c>
      <c r="G348" s="2">
        <v>88</v>
      </c>
      <c r="H348" s="2" t="s">
        <v>950</v>
      </c>
      <c r="I348" s="2" t="s">
        <v>951</v>
      </c>
      <c r="J348" s="2">
        <v>639603</v>
      </c>
      <c r="K348" s="3">
        <v>138797449</v>
      </c>
      <c r="L348">
        <f t="shared" si="10"/>
        <v>0</v>
      </c>
      <c r="N348">
        <f t="shared" si="11"/>
        <v>1</v>
      </c>
    </row>
    <row r="349" spans="1:14" ht="23.25">
      <c r="A349">
        <v>348</v>
      </c>
      <c r="B349" s="2" t="s">
        <v>952</v>
      </c>
      <c r="C349" s="2">
        <v>2011</v>
      </c>
      <c r="D349" s="2" t="s">
        <v>75</v>
      </c>
      <c r="E349" s="2" t="s">
        <v>17</v>
      </c>
      <c r="F349" s="2">
        <v>8</v>
      </c>
      <c r="G349" s="2">
        <v>62</v>
      </c>
      <c r="H349" s="2" t="s">
        <v>953</v>
      </c>
      <c r="I349" s="2" t="s">
        <v>954</v>
      </c>
      <c r="J349" s="2">
        <v>428521</v>
      </c>
      <c r="K349" s="3">
        <v>169708112</v>
      </c>
      <c r="L349">
        <f t="shared" si="10"/>
        <v>0</v>
      </c>
      <c r="N349">
        <f t="shared" si="11"/>
        <v>1</v>
      </c>
    </row>
    <row r="350" spans="1:14" ht="23.25">
      <c r="A350">
        <v>349</v>
      </c>
      <c r="B350" s="2" t="s">
        <v>955</v>
      </c>
      <c r="C350" s="2">
        <v>2016</v>
      </c>
      <c r="D350" s="2" t="s">
        <v>323</v>
      </c>
      <c r="E350" s="2" t="s">
        <v>27</v>
      </c>
      <c r="F350" s="2">
        <v>8</v>
      </c>
      <c r="G350" s="2">
        <v>65</v>
      </c>
      <c r="H350" s="2" t="s">
        <v>956</v>
      </c>
      <c r="I350" s="2" t="s">
        <v>957</v>
      </c>
      <c r="J350" s="2">
        <v>902669</v>
      </c>
      <c r="K350" s="3">
        <v>363070709</v>
      </c>
      <c r="L350">
        <f t="shared" si="10"/>
        <v>0</v>
      </c>
      <c r="N350">
        <f t="shared" si="11"/>
        <v>1</v>
      </c>
    </row>
    <row r="351" spans="1:14" ht="23.25">
      <c r="A351">
        <v>350</v>
      </c>
      <c r="B351" s="2" t="s">
        <v>958</v>
      </c>
      <c r="C351" s="2">
        <v>2009</v>
      </c>
      <c r="D351" s="2" t="s">
        <v>163</v>
      </c>
      <c r="E351" s="2" t="s">
        <v>60</v>
      </c>
      <c r="F351" s="2">
        <v>8</v>
      </c>
      <c r="G351" s="2">
        <v>87</v>
      </c>
      <c r="H351" s="2" t="s">
        <v>309</v>
      </c>
      <c r="I351" s="2" t="s">
        <v>959</v>
      </c>
      <c r="J351" s="2">
        <v>45803</v>
      </c>
      <c r="K351" s="3">
        <v>106662</v>
      </c>
      <c r="L351">
        <f t="shared" si="10"/>
        <v>0</v>
      </c>
      <c r="N351">
        <f t="shared" si="11"/>
        <v>0</v>
      </c>
    </row>
    <row r="352" spans="1:14" ht="25.5">
      <c r="A352">
        <v>351</v>
      </c>
      <c r="B352" s="2" t="s">
        <v>960</v>
      </c>
      <c r="C352" s="2">
        <v>2009</v>
      </c>
      <c r="D352" s="2" t="s">
        <v>689</v>
      </c>
      <c r="E352" s="2" t="s">
        <v>60</v>
      </c>
      <c r="F352" s="2">
        <v>8</v>
      </c>
      <c r="G352" s="4" t="s">
        <v>90</v>
      </c>
      <c r="H352" s="2" t="s">
        <v>448</v>
      </c>
      <c r="I352" s="2" t="s">
        <v>961</v>
      </c>
      <c r="J352" s="2">
        <v>28749</v>
      </c>
      <c r="K352" s="3">
        <v>10950</v>
      </c>
      <c r="L352">
        <f t="shared" si="10"/>
        <v>0</v>
      </c>
      <c r="N352">
        <f t="shared" si="11"/>
        <v>0</v>
      </c>
    </row>
    <row r="353" spans="1:14" ht="25.5">
      <c r="A353">
        <v>352</v>
      </c>
      <c r="B353" s="2" t="s">
        <v>962</v>
      </c>
      <c r="C353" s="2">
        <v>2008</v>
      </c>
      <c r="D353" s="2" t="s">
        <v>144</v>
      </c>
      <c r="E353" s="2" t="s">
        <v>27</v>
      </c>
      <c r="F353" s="2">
        <v>8</v>
      </c>
      <c r="G353" s="2">
        <v>59</v>
      </c>
      <c r="H353" s="2" t="s">
        <v>963</v>
      </c>
      <c r="I353" s="2" t="s">
        <v>964</v>
      </c>
      <c r="J353" s="2">
        <v>211427</v>
      </c>
      <c r="K353" s="4" t="s">
        <v>90</v>
      </c>
      <c r="L353">
        <f t="shared" si="10"/>
        <v>0</v>
      </c>
      <c r="N353">
        <f t="shared" si="11"/>
        <v>1</v>
      </c>
    </row>
    <row r="354" spans="1:14" ht="23.25">
      <c r="A354">
        <v>353</v>
      </c>
      <c r="B354" s="2" t="s">
        <v>965</v>
      </c>
      <c r="C354" s="2">
        <v>2010</v>
      </c>
      <c r="D354" s="2" t="s">
        <v>191</v>
      </c>
      <c r="E354" s="2" t="s">
        <v>17</v>
      </c>
      <c r="F354" s="2">
        <v>8</v>
      </c>
      <c r="G354" s="2">
        <v>50</v>
      </c>
      <c r="H354" s="2" t="s">
        <v>966</v>
      </c>
      <c r="I354" s="2" t="s">
        <v>471</v>
      </c>
      <c r="J354" s="2">
        <v>98575</v>
      </c>
      <c r="K354" s="3">
        <v>4018695</v>
      </c>
      <c r="L354">
        <f t="shared" si="10"/>
        <v>0</v>
      </c>
      <c r="N354">
        <f t="shared" si="11"/>
        <v>0</v>
      </c>
    </row>
    <row r="355" spans="1:14" ht="25.5">
      <c r="A355">
        <v>354</v>
      </c>
      <c r="B355" s="2" t="s">
        <v>967</v>
      </c>
      <c r="C355" s="2">
        <v>2009</v>
      </c>
      <c r="D355" s="2" t="s">
        <v>385</v>
      </c>
      <c r="E355" s="2" t="s">
        <v>27</v>
      </c>
      <c r="F355" s="2">
        <v>8</v>
      </c>
      <c r="G355" s="4" t="s">
        <v>90</v>
      </c>
      <c r="H355" s="2" t="s">
        <v>968</v>
      </c>
      <c r="I355" s="2" t="s">
        <v>211</v>
      </c>
      <c r="J355" s="2">
        <v>31838</v>
      </c>
      <c r="K355" s="4" t="s">
        <v>90</v>
      </c>
      <c r="L355">
        <f t="shared" si="10"/>
        <v>0</v>
      </c>
      <c r="N355">
        <f t="shared" si="11"/>
        <v>1</v>
      </c>
    </row>
    <row r="356" spans="1:14" ht="23.25">
      <c r="A356">
        <v>355</v>
      </c>
      <c r="B356" s="2" t="s">
        <v>969</v>
      </c>
      <c r="C356" s="2">
        <v>2008</v>
      </c>
      <c r="D356" s="2" t="s">
        <v>660</v>
      </c>
      <c r="E356" s="2" t="s">
        <v>60</v>
      </c>
      <c r="F356" s="2">
        <v>8</v>
      </c>
      <c r="G356" s="2">
        <v>84</v>
      </c>
      <c r="H356" s="2" t="s">
        <v>736</v>
      </c>
      <c r="I356" s="2" t="s">
        <v>970</v>
      </c>
      <c r="J356" s="2">
        <v>798882</v>
      </c>
      <c r="K356" s="3">
        <v>141319928</v>
      </c>
      <c r="L356">
        <f t="shared" si="10"/>
        <v>0</v>
      </c>
      <c r="N356">
        <f t="shared" si="11"/>
        <v>1</v>
      </c>
    </row>
    <row r="357" spans="1:14" ht="23.25">
      <c r="A357">
        <v>356</v>
      </c>
      <c r="B357" s="2" t="s">
        <v>971</v>
      </c>
      <c r="C357" s="2">
        <v>2010</v>
      </c>
      <c r="D357" s="2" t="s">
        <v>323</v>
      </c>
      <c r="E357" s="2" t="s">
        <v>60</v>
      </c>
      <c r="F357" s="2">
        <v>8</v>
      </c>
      <c r="G357" s="2">
        <v>79</v>
      </c>
      <c r="H357" s="2" t="s">
        <v>333</v>
      </c>
      <c r="I357" s="2" t="s">
        <v>972</v>
      </c>
      <c r="J357" s="2">
        <v>699673</v>
      </c>
      <c r="K357" s="3">
        <v>106954678</v>
      </c>
      <c r="L357">
        <f t="shared" si="10"/>
        <v>0</v>
      </c>
      <c r="N357">
        <f t="shared" si="11"/>
        <v>1</v>
      </c>
    </row>
    <row r="358" spans="1:14" ht="23.25">
      <c r="A358">
        <v>357</v>
      </c>
      <c r="B358" s="2" t="s">
        <v>973</v>
      </c>
      <c r="C358" s="2">
        <v>2007</v>
      </c>
      <c r="D358" s="2" t="s">
        <v>266</v>
      </c>
      <c r="E358" s="2" t="s">
        <v>27</v>
      </c>
      <c r="F358" s="2">
        <v>8</v>
      </c>
      <c r="G358" s="2">
        <v>33</v>
      </c>
      <c r="H358" s="2" t="s">
        <v>947</v>
      </c>
      <c r="I358" s="2" t="s">
        <v>948</v>
      </c>
      <c r="J358" s="2">
        <v>98097</v>
      </c>
      <c r="K358" s="3">
        <v>8060</v>
      </c>
      <c r="L358">
        <f t="shared" si="10"/>
        <v>0</v>
      </c>
      <c r="N358">
        <f t="shared" si="11"/>
        <v>0</v>
      </c>
    </row>
    <row r="359" spans="1:14" ht="23.25">
      <c r="A359">
        <v>358</v>
      </c>
      <c r="B359" s="2" t="s">
        <v>974</v>
      </c>
      <c r="C359" s="2">
        <v>2012</v>
      </c>
      <c r="D359" s="2" t="s">
        <v>278</v>
      </c>
      <c r="E359" s="2" t="s">
        <v>27</v>
      </c>
      <c r="F359" s="2">
        <v>8</v>
      </c>
      <c r="G359" s="2">
        <v>69</v>
      </c>
      <c r="H359" s="2" t="s">
        <v>975</v>
      </c>
      <c r="I359" s="2" t="s">
        <v>976</v>
      </c>
      <c r="J359" s="2">
        <v>1260806</v>
      </c>
      <c r="K359" s="3">
        <v>623279547</v>
      </c>
      <c r="L359">
        <f t="shared" si="10"/>
        <v>0</v>
      </c>
      <c r="N359">
        <f t="shared" si="11"/>
        <v>1</v>
      </c>
    </row>
    <row r="360" spans="1:14" ht="23.25">
      <c r="A360">
        <v>359</v>
      </c>
      <c r="B360" s="2" t="s">
        <v>977</v>
      </c>
      <c r="C360" s="2">
        <v>2007</v>
      </c>
      <c r="D360" s="2" t="s">
        <v>34</v>
      </c>
      <c r="E360" s="2" t="s">
        <v>110</v>
      </c>
      <c r="F360" s="2">
        <v>8</v>
      </c>
      <c r="G360" s="2">
        <v>90</v>
      </c>
      <c r="H360" s="2" t="s">
        <v>978</v>
      </c>
      <c r="I360" s="2" t="s">
        <v>979</v>
      </c>
      <c r="J360" s="2">
        <v>88656</v>
      </c>
      <c r="K360" s="3">
        <v>4445756</v>
      </c>
      <c r="L360">
        <f t="shared" si="10"/>
        <v>0</v>
      </c>
      <c r="N360">
        <f t="shared" si="11"/>
        <v>0</v>
      </c>
    </row>
    <row r="361" spans="1:14" ht="35.25">
      <c r="A361">
        <v>360</v>
      </c>
      <c r="B361" s="2" t="s">
        <v>980</v>
      </c>
      <c r="C361" s="2">
        <v>2013</v>
      </c>
      <c r="D361" s="2" t="s">
        <v>223</v>
      </c>
      <c r="E361" s="2" t="s">
        <v>47</v>
      </c>
      <c r="F361" s="2">
        <v>8</v>
      </c>
      <c r="G361" s="2">
        <v>80</v>
      </c>
      <c r="H361" s="2" t="s">
        <v>981</v>
      </c>
      <c r="I361" s="2" t="s">
        <v>103</v>
      </c>
      <c r="J361" s="2">
        <v>441614</v>
      </c>
      <c r="K361" s="3">
        <v>27298285</v>
      </c>
      <c r="L361">
        <f t="shared" si="10"/>
        <v>0</v>
      </c>
      <c r="N361">
        <f t="shared" si="11"/>
        <v>0</v>
      </c>
    </row>
    <row r="362" spans="1:14" ht="23.25">
      <c r="A362">
        <v>361</v>
      </c>
      <c r="B362" s="2" t="s">
        <v>982</v>
      </c>
      <c r="C362" s="2">
        <v>2006</v>
      </c>
      <c r="D362" s="2" t="s">
        <v>223</v>
      </c>
      <c r="E362" s="2" t="s">
        <v>47</v>
      </c>
      <c r="F362" s="2">
        <v>8</v>
      </c>
      <c r="G362" s="2">
        <v>64</v>
      </c>
      <c r="H362" s="2" t="s">
        <v>983</v>
      </c>
      <c r="I362" s="2" t="s">
        <v>984</v>
      </c>
      <c r="J362" s="2">
        <v>448930</v>
      </c>
      <c r="K362" s="3">
        <v>163566459</v>
      </c>
      <c r="L362">
        <f t="shared" si="10"/>
        <v>0</v>
      </c>
      <c r="N362">
        <f t="shared" si="11"/>
        <v>1</v>
      </c>
    </row>
    <row r="363" spans="1:14" ht="23.25">
      <c r="A363">
        <v>362</v>
      </c>
      <c r="B363" s="2" t="s">
        <v>985</v>
      </c>
      <c r="C363" s="2">
        <v>2006</v>
      </c>
      <c r="D363" s="2" t="s">
        <v>278</v>
      </c>
      <c r="E363" s="2" t="s">
        <v>102</v>
      </c>
      <c r="F363" s="2">
        <v>8</v>
      </c>
      <c r="G363" s="2">
        <v>64</v>
      </c>
      <c r="H363" s="2" t="s">
        <v>986</v>
      </c>
      <c r="I363" s="2" t="s">
        <v>52</v>
      </c>
      <c r="J363" s="2">
        <v>499439</v>
      </c>
      <c r="K363" s="3">
        <v>57366262</v>
      </c>
      <c r="L363">
        <f t="shared" si="10"/>
        <v>0</v>
      </c>
      <c r="N363">
        <f t="shared" si="11"/>
        <v>1</v>
      </c>
    </row>
    <row r="364" spans="1:14" ht="23.25">
      <c r="A364">
        <v>363</v>
      </c>
      <c r="B364" s="2" t="s">
        <v>987</v>
      </c>
      <c r="C364" s="2">
        <v>2007</v>
      </c>
      <c r="D364" s="2" t="s">
        <v>266</v>
      </c>
      <c r="E364" s="2" t="s">
        <v>27</v>
      </c>
      <c r="F364" s="2">
        <v>8</v>
      </c>
      <c r="G364" s="2">
        <v>85</v>
      </c>
      <c r="H364" s="2" t="s">
        <v>988</v>
      </c>
      <c r="I364" s="2" t="s">
        <v>644</v>
      </c>
      <c r="J364" s="2">
        <v>604694</v>
      </c>
      <c r="K364" s="3">
        <v>227471070</v>
      </c>
      <c r="L364">
        <f t="shared" si="10"/>
        <v>0</v>
      </c>
      <c r="N364">
        <f t="shared" si="11"/>
        <v>1</v>
      </c>
    </row>
    <row r="365" spans="1:14" ht="23.25">
      <c r="A365">
        <v>364</v>
      </c>
      <c r="B365" s="2" t="s">
        <v>989</v>
      </c>
      <c r="C365" s="2">
        <v>2004</v>
      </c>
      <c r="D365" s="2" t="s">
        <v>174</v>
      </c>
      <c r="E365" s="2" t="s">
        <v>22</v>
      </c>
      <c r="F365" s="2">
        <v>8</v>
      </c>
      <c r="G365" s="2">
        <v>72</v>
      </c>
      <c r="H365" s="2" t="s">
        <v>990</v>
      </c>
      <c r="I365" s="2" t="s">
        <v>991</v>
      </c>
      <c r="J365" s="2">
        <v>50610</v>
      </c>
      <c r="K365" s="3">
        <v>238507</v>
      </c>
      <c r="L365">
        <f t="shared" si="10"/>
        <v>0</v>
      </c>
      <c r="N365">
        <f t="shared" si="11"/>
        <v>0</v>
      </c>
    </row>
    <row r="366" spans="1:14" ht="23.25">
      <c r="A366">
        <v>365</v>
      </c>
      <c r="B366" s="2" t="s">
        <v>992</v>
      </c>
      <c r="C366" s="2">
        <v>2005</v>
      </c>
      <c r="D366" s="2" t="s">
        <v>79</v>
      </c>
      <c r="E366" s="2" t="s">
        <v>22</v>
      </c>
      <c r="F366" s="2">
        <v>8</v>
      </c>
      <c r="G366" s="2">
        <v>74</v>
      </c>
      <c r="H366" s="2" t="s">
        <v>993</v>
      </c>
      <c r="I366" s="2" t="s">
        <v>43</v>
      </c>
      <c r="J366" s="2">
        <v>738512</v>
      </c>
      <c r="K366" s="3">
        <v>74103820</v>
      </c>
      <c r="L366">
        <f t="shared" si="10"/>
        <v>0</v>
      </c>
      <c r="N366">
        <f t="shared" si="11"/>
        <v>1</v>
      </c>
    </row>
    <row r="367" spans="1:14" ht="23.25">
      <c r="A367">
        <v>366</v>
      </c>
      <c r="B367" s="2" t="s">
        <v>994</v>
      </c>
      <c r="C367" s="2">
        <v>2007</v>
      </c>
      <c r="D367" s="2" t="s">
        <v>148</v>
      </c>
      <c r="E367" s="2" t="s">
        <v>47</v>
      </c>
      <c r="F367" s="2">
        <v>8</v>
      </c>
      <c r="G367" s="2">
        <v>92</v>
      </c>
      <c r="H367" s="2" t="s">
        <v>995</v>
      </c>
      <c r="I367" s="2" t="s">
        <v>996</v>
      </c>
      <c r="J367" s="2">
        <v>103284</v>
      </c>
      <c r="K367" s="3">
        <v>5990075</v>
      </c>
      <c r="L367">
        <f t="shared" si="10"/>
        <v>0</v>
      </c>
      <c r="N367">
        <f t="shared" si="11"/>
        <v>0</v>
      </c>
    </row>
    <row r="368" spans="1:14" ht="25.5">
      <c r="A368">
        <v>367</v>
      </c>
      <c r="B368" s="2" t="s">
        <v>997</v>
      </c>
      <c r="C368" s="2">
        <v>2004</v>
      </c>
      <c r="D368" s="2" t="s">
        <v>120</v>
      </c>
      <c r="E368" s="2" t="s">
        <v>102</v>
      </c>
      <c r="F368" s="2">
        <v>8</v>
      </c>
      <c r="G368" s="4" t="s">
        <v>90</v>
      </c>
      <c r="H368" s="2" t="s">
        <v>998</v>
      </c>
      <c r="I368" s="2" t="s">
        <v>999</v>
      </c>
      <c r="J368" s="2">
        <v>56960</v>
      </c>
      <c r="K368" s="4" t="s">
        <v>90</v>
      </c>
      <c r="L368">
        <f t="shared" si="10"/>
        <v>0</v>
      </c>
      <c r="N368">
        <f t="shared" si="11"/>
        <v>1</v>
      </c>
    </row>
    <row r="369" spans="1:14" ht="14.25">
      <c r="A369">
        <v>368</v>
      </c>
      <c r="B369" s="2" t="s">
        <v>1000</v>
      </c>
      <c r="C369" s="2">
        <v>2007</v>
      </c>
      <c r="D369" s="2" t="s">
        <v>708</v>
      </c>
      <c r="E369" s="2" t="s">
        <v>110</v>
      </c>
      <c r="F369" s="2">
        <v>8</v>
      </c>
      <c r="G369" s="2">
        <v>96</v>
      </c>
      <c r="H369" s="2" t="s">
        <v>1001</v>
      </c>
      <c r="I369" s="2" t="s">
        <v>1002</v>
      </c>
      <c r="J369" s="2">
        <v>641645</v>
      </c>
      <c r="K369" s="3">
        <v>206445654</v>
      </c>
      <c r="L369">
        <f t="shared" si="10"/>
        <v>0</v>
      </c>
      <c r="N369">
        <f t="shared" si="11"/>
        <v>1</v>
      </c>
    </row>
    <row r="370" spans="1:14" ht="23.25">
      <c r="A370">
        <v>369</v>
      </c>
      <c r="B370" s="2" t="s">
        <v>1003</v>
      </c>
      <c r="C370" s="2">
        <v>2006</v>
      </c>
      <c r="D370" s="2" t="s">
        <v>689</v>
      </c>
      <c r="E370" s="2" t="s">
        <v>27</v>
      </c>
      <c r="F370" s="2">
        <v>8</v>
      </c>
      <c r="G370" s="2">
        <v>80</v>
      </c>
      <c r="H370" s="2" t="s">
        <v>1004</v>
      </c>
      <c r="I370" s="2" t="s">
        <v>1005</v>
      </c>
      <c r="J370" s="2">
        <v>582239</v>
      </c>
      <c r="K370" s="3">
        <v>167445960</v>
      </c>
      <c r="L370">
        <f t="shared" si="10"/>
        <v>0</v>
      </c>
      <c r="N370">
        <f t="shared" si="11"/>
        <v>1</v>
      </c>
    </row>
    <row r="371" spans="1:14" ht="23.25">
      <c r="A371">
        <v>370</v>
      </c>
      <c r="B371" s="2" t="s">
        <v>1006</v>
      </c>
      <c r="C371" s="2">
        <v>2004</v>
      </c>
      <c r="D371" s="2" t="s">
        <v>178</v>
      </c>
      <c r="E371" s="2" t="s">
        <v>27</v>
      </c>
      <c r="F371" s="2">
        <v>8</v>
      </c>
      <c r="G371" s="2">
        <v>83</v>
      </c>
      <c r="H371" s="2" t="s">
        <v>43</v>
      </c>
      <c r="I371" s="2" t="s">
        <v>709</v>
      </c>
      <c r="J371" s="2">
        <v>683900</v>
      </c>
      <c r="K371" s="3">
        <v>66208183</v>
      </c>
      <c r="L371">
        <f t="shared" si="10"/>
        <v>0</v>
      </c>
      <c r="N371">
        <f t="shared" si="11"/>
        <v>1</v>
      </c>
    </row>
    <row r="372" spans="1:14" ht="23.25">
      <c r="A372">
        <v>371</v>
      </c>
      <c r="B372" s="2" t="s">
        <v>1007</v>
      </c>
      <c r="C372" s="2">
        <v>2003</v>
      </c>
      <c r="D372" s="2" t="s">
        <v>170</v>
      </c>
      <c r="E372" s="2" t="s">
        <v>17</v>
      </c>
      <c r="F372" s="2">
        <v>8</v>
      </c>
      <c r="G372" s="2">
        <v>82</v>
      </c>
      <c r="H372" s="2" t="s">
        <v>1008</v>
      </c>
      <c r="I372" s="2" t="s">
        <v>1009</v>
      </c>
      <c r="J372" s="2">
        <v>42399</v>
      </c>
      <c r="K372" s="3">
        <v>502028</v>
      </c>
      <c r="L372">
        <f t="shared" si="10"/>
        <v>0</v>
      </c>
      <c r="N372">
        <f t="shared" si="11"/>
        <v>0</v>
      </c>
    </row>
    <row r="373" spans="1:14" ht="35.25">
      <c r="A373">
        <v>372</v>
      </c>
      <c r="B373" s="2" t="s">
        <v>1010</v>
      </c>
      <c r="C373" s="2">
        <v>2003</v>
      </c>
      <c r="D373" s="2" t="s">
        <v>387</v>
      </c>
      <c r="E373" s="2" t="s">
        <v>60</v>
      </c>
      <c r="F373" s="2">
        <v>8</v>
      </c>
      <c r="G373" s="2">
        <v>85</v>
      </c>
      <c r="H373" s="2" t="s">
        <v>990</v>
      </c>
      <c r="I373" s="2" t="s">
        <v>990</v>
      </c>
      <c r="J373" s="2">
        <v>77520</v>
      </c>
      <c r="K373" s="3">
        <v>2380788</v>
      </c>
      <c r="L373">
        <f t="shared" si="10"/>
        <v>0</v>
      </c>
      <c r="N373">
        <f t="shared" si="11"/>
        <v>0</v>
      </c>
    </row>
    <row r="374" spans="1:14" ht="23.25">
      <c r="A374">
        <v>373</v>
      </c>
      <c r="B374" s="2" t="s">
        <v>1011</v>
      </c>
      <c r="C374" s="2">
        <v>2014</v>
      </c>
      <c r="D374" s="2" t="s">
        <v>206</v>
      </c>
      <c r="E374" s="2" t="s">
        <v>47</v>
      </c>
      <c r="F374" s="2">
        <v>8</v>
      </c>
      <c r="G374" s="2">
        <v>74</v>
      </c>
      <c r="H374" s="2" t="s">
        <v>1012</v>
      </c>
      <c r="I374" s="2" t="s">
        <v>1013</v>
      </c>
      <c r="J374" s="2">
        <v>77554</v>
      </c>
      <c r="K374" s="3">
        <v>2086345</v>
      </c>
      <c r="L374">
        <f t="shared" si="10"/>
        <v>0</v>
      </c>
      <c r="N374">
        <f t="shared" si="11"/>
        <v>0</v>
      </c>
    </row>
    <row r="375" spans="1:14" ht="23.25">
      <c r="A375">
        <v>374</v>
      </c>
      <c r="B375" s="2" t="s">
        <v>1014</v>
      </c>
      <c r="C375" s="2">
        <v>2005</v>
      </c>
      <c r="D375" s="2" t="s">
        <v>689</v>
      </c>
      <c r="E375" s="2" t="s">
        <v>47</v>
      </c>
      <c r="F375" s="2">
        <v>8</v>
      </c>
      <c r="G375" s="2">
        <v>69</v>
      </c>
      <c r="H375" s="2" t="s">
        <v>497</v>
      </c>
      <c r="I375" s="2" t="s">
        <v>161</v>
      </c>
      <c r="J375" s="2">
        <v>176151</v>
      </c>
      <c r="K375" s="3">
        <v>61649911</v>
      </c>
      <c r="L375">
        <f t="shared" si="10"/>
        <v>0</v>
      </c>
      <c r="N375">
        <f t="shared" si="11"/>
        <v>1</v>
      </c>
    </row>
    <row r="376" spans="1:14" ht="23.25">
      <c r="A376">
        <v>375</v>
      </c>
      <c r="B376" s="2" t="s">
        <v>1015</v>
      </c>
      <c r="C376" s="2">
        <v>2003</v>
      </c>
      <c r="D376" s="2" t="s">
        <v>443</v>
      </c>
      <c r="E376" s="2" t="s">
        <v>93</v>
      </c>
      <c r="F376" s="2">
        <v>8</v>
      </c>
      <c r="G376" s="2">
        <v>54</v>
      </c>
      <c r="H376" s="2" t="s">
        <v>1016</v>
      </c>
      <c r="I376" s="2" t="s">
        <v>1017</v>
      </c>
      <c r="J376" s="2">
        <v>63460</v>
      </c>
      <c r="K376" s="3">
        <v>1787378</v>
      </c>
      <c r="L376">
        <f t="shared" si="10"/>
        <v>0</v>
      </c>
      <c r="N376">
        <f t="shared" si="11"/>
        <v>0</v>
      </c>
    </row>
    <row r="377" spans="1:14" ht="14.25">
      <c r="A377">
        <v>376</v>
      </c>
      <c r="B377" s="2" t="s">
        <v>1018</v>
      </c>
      <c r="C377" s="2">
        <v>2002</v>
      </c>
      <c r="D377" s="2" t="s">
        <v>253</v>
      </c>
      <c r="E377" s="2" t="s">
        <v>27</v>
      </c>
      <c r="F377" s="2">
        <v>8</v>
      </c>
      <c r="G377" s="2">
        <v>75</v>
      </c>
      <c r="H377" s="2" t="s">
        <v>1019</v>
      </c>
      <c r="I377" s="2" t="s">
        <v>1020</v>
      </c>
      <c r="J377" s="2">
        <v>117857</v>
      </c>
      <c r="K377" s="3">
        <v>169659</v>
      </c>
      <c r="L377">
        <f t="shared" si="10"/>
        <v>0</v>
      </c>
      <c r="N377">
        <f t="shared" si="11"/>
        <v>0</v>
      </c>
    </row>
    <row r="378" spans="1:14" ht="47.25">
      <c r="A378">
        <v>377</v>
      </c>
      <c r="B378" s="2" t="s">
        <v>1021</v>
      </c>
      <c r="C378" s="2">
        <v>2003</v>
      </c>
      <c r="D378" s="2" t="s">
        <v>278</v>
      </c>
      <c r="E378" s="2" t="s">
        <v>27</v>
      </c>
      <c r="F378" s="2">
        <v>8</v>
      </c>
      <c r="G378" s="2">
        <v>63</v>
      </c>
      <c r="H378" s="2" t="s">
        <v>1022</v>
      </c>
      <c r="I378" s="2" t="s">
        <v>1023</v>
      </c>
      <c r="J378" s="2">
        <v>1015122</v>
      </c>
      <c r="K378" s="3">
        <v>305413918</v>
      </c>
      <c r="L378">
        <f t="shared" si="10"/>
        <v>0</v>
      </c>
      <c r="N378">
        <f t="shared" si="11"/>
        <v>1</v>
      </c>
    </row>
    <row r="379" spans="1:14" ht="23.25">
      <c r="A379">
        <v>378</v>
      </c>
      <c r="B379" s="2" t="s">
        <v>1024</v>
      </c>
      <c r="C379" s="2">
        <v>2003</v>
      </c>
      <c r="D379" s="2" t="s">
        <v>109</v>
      </c>
      <c r="E379" s="2" t="s">
        <v>102</v>
      </c>
      <c r="F379" s="2">
        <v>8</v>
      </c>
      <c r="G379" s="2">
        <v>58</v>
      </c>
      <c r="H379" s="2" t="s">
        <v>1025</v>
      </c>
      <c r="I379" s="2" t="s">
        <v>737</v>
      </c>
      <c r="J379" s="2">
        <v>415218</v>
      </c>
      <c r="K379" s="3">
        <v>66257002</v>
      </c>
      <c r="L379">
        <f t="shared" si="10"/>
        <v>0</v>
      </c>
      <c r="N379">
        <f t="shared" si="11"/>
        <v>1</v>
      </c>
    </row>
    <row r="380" spans="1:14" ht="23.25">
      <c r="A380">
        <v>379</v>
      </c>
      <c r="B380" s="2" t="s">
        <v>1026</v>
      </c>
      <c r="C380" s="2">
        <v>2004</v>
      </c>
      <c r="D380" s="2" t="s">
        <v>266</v>
      </c>
      <c r="E380" s="2" t="s">
        <v>110</v>
      </c>
      <c r="F380" s="2">
        <v>8</v>
      </c>
      <c r="G380" s="2">
        <v>90</v>
      </c>
      <c r="H380" s="2" t="s">
        <v>1001</v>
      </c>
      <c r="I380" s="2" t="s">
        <v>1027</v>
      </c>
      <c r="J380" s="2">
        <v>657047</v>
      </c>
      <c r="K380" s="3">
        <v>261441092</v>
      </c>
      <c r="L380">
        <f t="shared" si="10"/>
        <v>0</v>
      </c>
      <c r="N380">
        <f t="shared" si="11"/>
        <v>1</v>
      </c>
    </row>
    <row r="381" spans="1:14" ht="25.5">
      <c r="A381">
        <v>380</v>
      </c>
      <c r="B381" s="2" t="s">
        <v>1028</v>
      </c>
      <c r="C381" s="2">
        <v>2001</v>
      </c>
      <c r="D381" s="2" t="s">
        <v>178</v>
      </c>
      <c r="E381" s="2" t="s">
        <v>93</v>
      </c>
      <c r="F381" s="2">
        <v>8</v>
      </c>
      <c r="G381" s="4" t="s">
        <v>90</v>
      </c>
      <c r="H381" s="2" t="s">
        <v>1029</v>
      </c>
      <c r="I381" s="2" t="s">
        <v>1030</v>
      </c>
      <c r="J381" s="2">
        <v>45403</v>
      </c>
      <c r="K381" s="4" t="s">
        <v>90</v>
      </c>
      <c r="L381">
        <f t="shared" si="10"/>
        <v>0</v>
      </c>
      <c r="N381">
        <f t="shared" si="11"/>
        <v>1</v>
      </c>
    </row>
    <row r="382" spans="1:14" ht="23.25">
      <c r="A382">
        <v>381</v>
      </c>
      <c r="B382" s="2" t="s">
        <v>1031</v>
      </c>
      <c r="C382" s="2">
        <v>2003</v>
      </c>
      <c r="D382" s="2" t="s">
        <v>58</v>
      </c>
      <c r="E382" s="2" t="s">
        <v>22</v>
      </c>
      <c r="F382" s="2">
        <v>8</v>
      </c>
      <c r="G382" s="2">
        <v>60</v>
      </c>
      <c r="H382" s="2" t="s">
        <v>1032</v>
      </c>
      <c r="I382" s="2" t="s">
        <v>1033</v>
      </c>
      <c r="J382" s="2">
        <v>137963</v>
      </c>
      <c r="K382" s="3">
        <v>1530386</v>
      </c>
      <c r="L382">
        <f t="shared" si="10"/>
        <v>0</v>
      </c>
      <c r="N382">
        <f t="shared" si="11"/>
        <v>0</v>
      </c>
    </row>
    <row r="383" spans="1:14" ht="25.5">
      <c r="A383">
        <v>382</v>
      </c>
      <c r="B383" s="2" t="s">
        <v>1034</v>
      </c>
      <c r="C383" s="2">
        <v>2001</v>
      </c>
      <c r="D383" s="2" t="s">
        <v>170</v>
      </c>
      <c r="E383" s="2" t="s">
        <v>93</v>
      </c>
      <c r="F383" s="2">
        <v>8</v>
      </c>
      <c r="G383" s="4" t="s">
        <v>90</v>
      </c>
      <c r="H383" s="2" t="s">
        <v>1035</v>
      </c>
      <c r="I383" s="2" t="s">
        <v>998</v>
      </c>
      <c r="J383" s="2">
        <v>33592</v>
      </c>
      <c r="K383" s="4" t="s">
        <v>90</v>
      </c>
      <c r="L383">
        <f t="shared" si="10"/>
        <v>0</v>
      </c>
      <c r="N383">
        <f t="shared" si="11"/>
        <v>1</v>
      </c>
    </row>
    <row r="384" spans="1:14" ht="23.25">
      <c r="A384">
        <v>383</v>
      </c>
      <c r="B384" s="2" t="s">
        <v>1036</v>
      </c>
      <c r="C384" s="2">
        <v>2001</v>
      </c>
      <c r="D384" s="2" t="s">
        <v>257</v>
      </c>
      <c r="E384" s="2" t="s">
        <v>60</v>
      </c>
      <c r="F384" s="2">
        <v>8</v>
      </c>
      <c r="G384" s="2">
        <v>88</v>
      </c>
      <c r="H384" s="2" t="s">
        <v>1037</v>
      </c>
      <c r="I384" s="2" t="s">
        <v>1038</v>
      </c>
      <c r="J384" s="2">
        <v>740086</v>
      </c>
      <c r="K384" s="3">
        <v>1480006</v>
      </c>
      <c r="L384">
        <f t="shared" si="10"/>
        <v>0</v>
      </c>
      <c r="N384">
        <f t="shared" si="11"/>
        <v>0</v>
      </c>
    </row>
    <row r="385" spans="1:14" ht="35.25">
      <c r="A385">
        <v>384</v>
      </c>
      <c r="B385" s="2" t="s">
        <v>1039</v>
      </c>
      <c r="C385" s="2">
        <v>1999</v>
      </c>
      <c r="D385" s="2" t="s">
        <v>785</v>
      </c>
      <c r="E385" s="2" t="s">
        <v>17</v>
      </c>
      <c r="F385" s="2">
        <v>8</v>
      </c>
      <c r="G385" s="2">
        <v>77</v>
      </c>
      <c r="H385" s="2" t="s">
        <v>474</v>
      </c>
      <c r="I385" s="2" t="s">
        <v>1040</v>
      </c>
      <c r="J385" s="2">
        <v>289742</v>
      </c>
      <c r="K385" s="3">
        <v>22455976</v>
      </c>
      <c r="L385">
        <f t="shared" si="10"/>
        <v>0</v>
      </c>
      <c r="N385">
        <f t="shared" si="11"/>
        <v>0</v>
      </c>
    </row>
    <row r="386" spans="1:14" ht="23.25">
      <c r="A386">
        <v>385</v>
      </c>
      <c r="B386" s="2" t="s">
        <v>1041</v>
      </c>
      <c r="C386" s="2">
        <v>2000</v>
      </c>
      <c r="D386" s="2" t="s">
        <v>460</v>
      </c>
      <c r="E386" s="2" t="s">
        <v>22</v>
      </c>
      <c r="F386" s="2">
        <v>8</v>
      </c>
      <c r="G386" s="2">
        <v>61</v>
      </c>
      <c r="H386" s="2" t="s">
        <v>1032</v>
      </c>
      <c r="I386" s="2" t="s">
        <v>1042</v>
      </c>
      <c r="J386" s="2">
        <v>102285</v>
      </c>
      <c r="K386" s="3">
        <v>4184036</v>
      </c>
      <c r="L386">
        <f t="shared" si="10"/>
        <v>0</v>
      </c>
      <c r="N386">
        <f t="shared" si="11"/>
        <v>0</v>
      </c>
    </row>
    <row r="387" spans="1:14" ht="23.25">
      <c r="A387">
        <v>386</v>
      </c>
      <c r="B387" s="2" t="s">
        <v>1043</v>
      </c>
      <c r="C387" s="2">
        <v>1999</v>
      </c>
      <c r="D387" s="2" t="s">
        <v>148</v>
      </c>
      <c r="E387" s="2" t="s">
        <v>47</v>
      </c>
      <c r="F387" s="2">
        <v>8</v>
      </c>
      <c r="G387" s="2">
        <v>86</v>
      </c>
      <c r="H387" s="2" t="s">
        <v>789</v>
      </c>
      <c r="I387" s="2" t="s">
        <v>1044</v>
      </c>
      <c r="J387" s="2">
        <v>82002</v>
      </c>
      <c r="K387" s="3">
        <v>6203044</v>
      </c>
      <c r="L387">
        <f t="shared" ref="L387:L450" si="12">IF(AND(F387&gt;=8.2, G387&gt;8.2), 1, 0)</f>
        <v>0</v>
      </c>
      <c r="N387">
        <f t="shared" ref="N387:N450" si="13">IF(K387&gt;=50000000, 1, 0)</f>
        <v>0</v>
      </c>
    </row>
    <row r="388" spans="1:14" ht="25.5">
      <c r="A388">
        <v>387</v>
      </c>
      <c r="B388" s="2" t="s">
        <v>1045</v>
      </c>
      <c r="C388" s="2">
        <v>1997</v>
      </c>
      <c r="D388" s="2" t="s">
        <v>343</v>
      </c>
      <c r="E388" s="2" t="s">
        <v>110</v>
      </c>
      <c r="F388" s="2">
        <v>8</v>
      </c>
      <c r="G388" s="4" t="s">
        <v>90</v>
      </c>
      <c r="H388" s="2" t="s">
        <v>1046</v>
      </c>
      <c r="I388" s="2" t="s">
        <v>1047</v>
      </c>
      <c r="J388" s="2">
        <v>58192</v>
      </c>
      <c r="K388" s="3">
        <v>776665</v>
      </c>
      <c r="L388">
        <f t="shared" si="12"/>
        <v>0</v>
      </c>
      <c r="N388">
        <f t="shared" si="13"/>
        <v>0</v>
      </c>
    </row>
    <row r="389" spans="1:14" ht="23.25">
      <c r="A389">
        <v>388</v>
      </c>
      <c r="B389" s="2" t="s">
        <v>1048</v>
      </c>
      <c r="C389" s="2">
        <v>1998</v>
      </c>
      <c r="D389" s="2" t="s">
        <v>233</v>
      </c>
      <c r="E389" s="2" t="s">
        <v>17</v>
      </c>
      <c r="F389" s="2">
        <v>8</v>
      </c>
      <c r="G389" s="2">
        <v>82</v>
      </c>
      <c r="H389" s="2" t="s">
        <v>305</v>
      </c>
      <c r="I389" s="2" t="s">
        <v>1049</v>
      </c>
      <c r="J389" s="2">
        <v>78341</v>
      </c>
      <c r="K389" s="3">
        <v>1647780</v>
      </c>
      <c r="L389">
        <f t="shared" si="12"/>
        <v>0</v>
      </c>
      <c r="N389">
        <f t="shared" si="13"/>
        <v>0</v>
      </c>
    </row>
    <row r="390" spans="1:14" ht="35.25">
      <c r="A390">
        <v>389</v>
      </c>
      <c r="B390" s="2" t="s">
        <v>1050</v>
      </c>
      <c r="C390" s="2">
        <v>1998</v>
      </c>
      <c r="D390" s="2" t="s">
        <v>170</v>
      </c>
      <c r="E390" s="2" t="s">
        <v>17</v>
      </c>
      <c r="F390" s="2">
        <v>8</v>
      </c>
      <c r="G390" s="2">
        <v>80</v>
      </c>
      <c r="H390" s="2" t="s">
        <v>1051</v>
      </c>
      <c r="I390" s="2" t="s">
        <v>1052</v>
      </c>
      <c r="J390" s="2">
        <v>36419</v>
      </c>
      <c r="K390" s="3">
        <v>5595428</v>
      </c>
      <c r="L390">
        <f t="shared" si="12"/>
        <v>0</v>
      </c>
      <c r="N390">
        <f t="shared" si="13"/>
        <v>0</v>
      </c>
    </row>
    <row r="391" spans="1:14" ht="23.25">
      <c r="A391">
        <v>390</v>
      </c>
      <c r="B391" s="2" t="s">
        <v>1053</v>
      </c>
      <c r="C391" s="2">
        <v>1999</v>
      </c>
      <c r="D391" s="2" t="s">
        <v>519</v>
      </c>
      <c r="E391" s="2" t="s">
        <v>110</v>
      </c>
      <c r="F391" s="2">
        <v>8</v>
      </c>
      <c r="G391" s="2">
        <v>85</v>
      </c>
      <c r="H391" s="2" t="s">
        <v>1001</v>
      </c>
      <c r="I391" s="2" t="s">
        <v>1054</v>
      </c>
      <c r="J391" s="2">
        <v>172083</v>
      </c>
      <c r="K391" s="3">
        <v>23159305</v>
      </c>
      <c r="L391">
        <f t="shared" si="12"/>
        <v>0</v>
      </c>
      <c r="N391">
        <f t="shared" si="13"/>
        <v>0</v>
      </c>
    </row>
    <row r="392" spans="1:14" ht="25.5">
      <c r="A392">
        <v>391</v>
      </c>
      <c r="B392" s="2" t="s">
        <v>1055</v>
      </c>
      <c r="C392" s="2">
        <v>1997</v>
      </c>
      <c r="D392" s="2" t="s">
        <v>202</v>
      </c>
      <c r="E392" s="2" t="s">
        <v>27</v>
      </c>
      <c r="F392" s="2">
        <v>8</v>
      </c>
      <c r="G392" s="4" t="s">
        <v>90</v>
      </c>
      <c r="H392" s="2" t="s">
        <v>1056</v>
      </c>
      <c r="I392" s="2" t="s">
        <v>1057</v>
      </c>
      <c r="J392" s="2">
        <v>27721</v>
      </c>
      <c r="K392" s="3">
        <v>3296</v>
      </c>
      <c r="L392">
        <f t="shared" si="12"/>
        <v>0</v>
      </c>
      <c r="N392">
        <f t="shared" si="13"/>
        <v>0</v>
      </c>
    </row>
    <row r="393" spans="1:14" ht="23.25">
      <c r="A393">
        <v>392</v>
      </c>
      <c r="B393" s="2" t="s">
        <v>1058</v>
      </c>
      <c r="C393" s="2">
        <v>1996</v>
      </c>
      <c r="D393" s="2" t="s">
        <v>454</v>
      </c>
      <c r="E393" s="2" t="s">
        <v>17</v>
      </c>
      <c r="F393" s="2">
        <v>8</v>
      </c>
      <c r="G393" s="2">
        <v>84</v>
      </c>
      <c r="H393" s="2" t="s">
        <v>1059</v>
      </c>
      <c r="I393" s="2" t="s">
        <v>1059</v>
      </c>
      <c r="J393" s="2">
        <v>86838</v>
      </c>
      <c r="K393" s="3">
        <v>24475416</v>
      </c>
      <c r="L393">
        <f t="shared" si="12"/>
        <v>0</v>
      </c>
      <c r="N393">
        <f t="shared" si="13"/>
        <v>0</v>
      </c>
    </row>
    <row r="394" spans="1:14" ht="23.25">
      <c r="A394">
        <v>393</v>
      </c>
      <c r="B394" s="2" t="s">
        <v>1060</v>
      </c>
      <c r="C394" s="2">
        <v>1996</v>
      </c>
      <c r="D394" s="2" t="s">
        <v>71</v>
      </c>
      <c r="E394" s="2" t="s">
        <v>93</v>
      </c>
      <c r="F394" s="2">
        <v>8</v>
      </c>
      <c r="G394" s="2">
        <v>91</v>
      </c>
      <c r="H394" s="2" t="s">
        <v>1061</v>
      </c>
      <c r="I394" s="2" t="s">
        <v>1062</v>
      </c>
      <c r="J394" s="2">
        <v>37564</v>
      </c>
      <c r="K394" s="3">
        <v>13417292</v>
      </c>
      <c r="L394">
        <f t="shared" si="12"/>
        <v>0</v>
      </c>
      <c r="N394">
        <f t="shared" si="13"/>
        <v>0</v>
      </c>
    </row>
    <row r="395" spans="1:14" ht="23.25">
      <c r="A395">
        <v>394</v>
      </c>
      <c r="B395" s="2" t="s">
        <v>1063</v>
      </c>
      <c r="C395" s="2">
        <v>1995</v>
      </c>
      <c r="D395" s="2" t="s">
        <v>368</v>
      </c>
      <c r="E395" s="2" t="s">
        <v>258</v>
      </c>
      <c r="F395" s="2">
        <v>8</v>
      </c>
      <c r="G395" s="2">
        <v>74</v>
      </c>
      <c r="H395" s="2" t="s">
        <v>543</v>
      </c>
      <c r="I395" s="2" t="s">
        <v>523</v>
      </c>
      <c r="J395" s="2">
        <v>578443</v>
      </c>
      <c r="K395" s="3">
        <v>57141459</v>
      </c>
      <c r="L395">
        <f t="shared" si="12"/>
        <v>0</v>
      </c>
      <c r="N395">
        <f t="shared" si="13"/>
        <v>1</v>
      </c>
    </row>
    <row r="396" spans="1:14" ht="23.25">
      <c r="A396">
        <v>395</v>
      </c>
      <c r="B396" s="2" t="s">
        <v>1064</v>
      </c>
      <c r="C396" s="2">
        <v>1995</v>
      </c>
      <c r="D396" s="2" t="s">
        <v>1065</v>
      </c>
      <c r="E396" s="2" t="s">
        <v>110</v>
      </c>
      <c r="F396" s="2">
        <v>8</v>
      </c>
      <c r="G396" s="2">
        <v>76</v>
      </c>
      <c r="H396" s="2" t="s">
        <v>1066</v>
      </c>
      <c r="I396" s="2" t="s">
        <v>1067</v>
      </c>
      <c r="J396" s="2">
        <v>129231</v>
      </c>
      <c r="K396" s="3">
        <v>515905</v>
      </c>
      <c r="L396">
        <f t="shared" si="12"/>
        <v>0</v>
      </c>
      <c r="N396">
        <f t="shared" si="13"/>
        <v>0</v>
      </c>
    </row>
    <row r="397" spans="1:14" ht="35.25">
      <c r="A397">
        <v>396</v>
      </c>
      <c r="B397" s="2" t="s">
        <v>1068</v>
      </c>
      <c r="C397" s="2">
        <v>1993</v>
      </c>
      <c r="D397" s="2" t="s">
        <v>893</v>
      </c>
      <c r="E397" s="2" t="s">
        <v>110</v>
      </c>
      <c r="F397" s="2">
        <v>8</v>
      </c>
      <c r="G397" s="2">
        <v>82</v>
      </c>
      <c r="H397" s="2" t="s">
        <v>1069</v>
      </c>
      <c r="I397" s="2" t="s">
        <v>1070</v>
      </c>
      <c r="J397" s="2">
        <v>300208</v>
      </c>
      <c r="K397" s="3">
        <v>75082668</v>
      </c>
      <c r="L397">
        <f t="shared" si="12"/>
        <v>0</v>
      </c>
      <c r="N397">
        <f t="shared" si="13"/>
        <v>1</v>
      </c>
    </row>
    <row r="398" spans="1:14" ht="23.25">
      <c r="A398">
        <v>397</v>
      </c>
      <c r="B398" s="2" t="s">
        <v>1071</v>
      </c>
      <c r="C398" s="2">
        <v>1993</v>
      </c>
      <c r="D398" s="2" t="s">
        <v>253</v>
      </c>
      <c r="E398" s="2" t="s">
        <v>93</v>
      </c>
      <c r="F398" s="2">
        <v>8</v>
      </c>
      <c r="G398" s="2">
        <v>72</v>
      </c>
      <c r="H398" s="2" t="s">
        <v>1072</v>
      </c>
      <c r="I398" s="2" t="s">
        <v>1073</v>
      </c>
      <c r="J398" s="2">
        <v>577991</v>
      </c>
      <c r="K398" s="3">
        <v>70906973</v>
      </c>
      <c r="L398">
        <f t="shared" si="12"/>
        <v>0</v>
      </c>
      <c r="N398">
        <f t="shared" si="13"/>
        <v>1</v>
      </c>
    </row>
    <row r="399" spans="1:14" ht="23.25">
      <c r="A399">
        <v>398</v>
      </c>
      <c r="B399" s="2" t="s">
        <v>1074</v>
      </c>
      <c r="C399" s="2">
        <v>1993</v>
      </c>
      <c r="D399" s="2" t="s">
        <v>468</v>
      </c>
      <c r="E399" s="2" t="s">
        <v>22</v>
      </c>
      <c r="F399" s="2">
        <v>8</v>
      </c>
      <c r="G399" s="2">
        <v>47</v>
      </c>
      <c r="H399" s="2" t="s">
        <v>1075</v>
      </c>
      <c r="I399" s="2" t="s">
        <v>1076</v>
      </c>
      <c r="J399" s="2">
        <v>28825</v>
      </c>
      <c r="K399" s="3">
        <v>4496583</v>
      </c>
      <c r="L399">
        <f t="shared" si="12"/>
        <v>0</v>
      </c>
      <c r="N399">
        <f t="shared" si="13"/>
        <v>0</v>
      </c>
    </row>
    <row r="400" spans="1:14" ht="23.25">
      <c r="A400">
        <v>399</v>
      </c>
      <c r="B400" s="2" t="s">
        <v>1077</v>
      </c>
      <c r="C400" s="2">
        <v>1992</v>
      </c>
      <c r="D400" s="2" t="s">
        <v>414</v>
      </c>
      <c r="E400" s="2" t="s">
        <v>17</v>
      </c>
      <c r="F400" s="2">
        <v>8</v>
      </c>
      <c r="G400" s="2">
        <v>59</v>
      </c>
      <c r="H400" s="2" t="s">
        <v>1078</v>
      </c>
      <c r="I400" s="2" t="s">
        <v>32</v>
      </c>
      <c r="J400" s="2">
        <v>263918</v>
      </c>
      <c r="K400" s="3">
        <v>63895607</v>
      </c>
      <c r="L400">
        <f t="shared" si="12"/>
        <v>0</v>
      </c>
      <c r="N400">
        <f t="shared" si="13"/>
        <v>1</v>
      </c>
    </row>
    <row r="401" spans="1:14" ht="23.25">
      <c r="A401">
        <v>400</v>
      </c>
      <c r="B401" s="2" t="s">
        <v>1079</v>
      </c>
      <c r="C401" s="2">
        <v>1992</v>
      </c>
      <c r="D401" s="2" t="s">
        <v>1080</v>
      </c>
      <c r="E401" s="2" t="s">
        <v>110</v>
      </c>
      <c r="F401" s="2">
        <v>8</v>
      </c>
      <c r="G401" s="2">
        <v>86</v>
      </c>
      <c r="H401" s="2" t="s">
        <v>1081</v>
      </c>
      <c r="I401" s="2" t="s">
        <v>1082</v>
      </c>
      <c r="J401" s="2">
        <v>373845</v>
      </c>
      <c r="K401" s="3">
        <v>217350219</v>
      </c>
      <c r="L401">
        <f t="shared" si="12"/>
        <v>0</v>
      </c>
      <c r="N401">
        <f t="shared" si="13"/>
        <v>1</v>
      </c>
    </row>
    <row r="402" spans="1:14" ht="23.25">
      <c r="A402">
        <v>401</v>
      </c>
      <c r="B402" s="2" t="s">
        <v>1083</v>
      </c>
      <c r="C402" s="2">
        <v>1991</v>
      </c>
      <c r="D402" s="2" t="s">
        <v>115</v>
      </c>
      <c r="E402" s="2" t="s">
        <v>60</v>
      </c>
      <c r="F402" s="2">
        <v>8</v>
      </c>
      <c r="G402" s="2">
        <v>72</v>
      </c>
      <c r="H402" s="2" t="s">
        <v>768</v>
      </c>
      <c r="I402" s="2" t="s">
        <v>1084</v>
      </c>
      <c r="J402" s="2">
        <v>142110</v>
      </c>
      <c r="K402" s="3">
        <v>70405498</v>
      </c>
      <c r="L402">
        <f t="shared" si="12"/>
        <v>0</v>
      </c>
      <c r="N402">
        <f t="shared" si="13"/>
        <v>1</v>
      </c>
    </row>
    <row r="403" spans="1:14" ht="23.25">
      <c r="A403">
        <v>402</v>
      </c>
      <c r="B403" s="2" t="s">
        <v>1085</v>
      </c>
      <c r="C403" s="2">
        <v>1991</v>
      </c>
      <c r="D403" s="2" t="s">
        <v>1086</v>
      </c>
      <c r="E403" s="2" t="s">
        <v>110</v>
      </c>
      <c r="F403" s="2">
        <v>8</v>
      </c>
      <c r="G403" s="2">
        <v>95</v>
      </c>
      <c r="H403" s="2" t="s">
        <v>1087</v>
      </c>
      <c r="I403" s="2" t="s">
        <v>1088</v>
      </c>
      <c r="J403" s="2">
        <v>417178</v>
      </c>
      <c r="K403" s="3">
        <v>218967620</v>
      </c>
      <c r="L403">
        <f t="shared" si="12"/>
        <v>0</v>
      </c>
      <c r="N403">
        <f t="shared" si="13"/>
        <v>1</v>
      </c>
    </row>
    <row r="404" spans="1:14" ht="23.25">
      <c r="A404">
        <v>403</v>
      </c>
      <c r="B404" s="2" t="s">
        <v>1089</v>
      </c>
      <c r="C404" s="2">
        <v>1990</v>
      </c>
      <c r="D404" s="2" t="s">
        <v>227</v>
      </c>
      <c r="E404" s="2" t="s">
        <v>102</v>
      </c>
      <c r="F404" s="2">
        <v>8</v>
      </c>
      <c r="G404" s="2">
        <v>72</v>
      </c>
      <c r="H404" s="2" t="s">
        <v>1084</v>
      </c>
      <c r="I404" s="2" t="s">
        <v>1084</v>
      </c>
      <c r="J404" s="2">
        <v>240266</v>
      </c>
      <c r="K404" s="3">
        <v>184208848</v>
      </c>
      <c r="L404">
        <f t="shared" si="12"/>
        <v>0</v>
      </c>
      <c r="N404">
        <f t="shared" si="13"/>
        <v>1</v>
      </c>
    </row>
    <row r="405" spans="1:14" ht="23.25">
      <c r="A405">
        <v>404</v>
      </c>
      <c r="B405" s="2" t="s">
        <v>1090</v>
      </c>
      <c r="C405" s="2">
        <v>1989</v>
      </c>
      <c r="D405" s="2" t="s">
        <v>660</v>
      </c>
      <c r="E405" s="2" t="s">
        <v>93</v>
      </c>
      <c r="F405" s="2">
        <v>8</v>
      </c>
      <c r="G405" s="2">
        <v>93</v>
      </c>
      <c r="H405" s="2" t="s">
        <v>1091</v>
      </c>
      <c r="I405" s="2" t="s">
        <v>1092</v>
      </c>
      <c r="J405" s="2">
        <v>89429</v>
      </c>
      <c r="K405" s="3">
        <v>27545445</v>
      </c>
      <c r="L405">
        <f t="shared" si="12"/>
        <v>0</v>
      </c>
      <c r="N405">
        <f t="shared" si="13"/>
        <v>0</v>
      </c>
    </row>
    <row r="406" spans="1:14" ht="23.25">
      <c r="A406">
        <v>405</v>
      </c>
      <c r="B406" s="2" t="s">
        <v>1093</v>
      </c>
      <c r="C406" s="2">
        <v>1988</v>
      </c>
      <c r="D406" s="2" t="s">
        <v>83</v>
      </c>
      <c r="E406" s="2" t="s">
        <v>17</v>
      </c>
      <c r="F406" s="2">
        <v>8</v>
      </c>
      <c r="G406" s="2">
        <v>65</v>
      </c>
      <c r="H406" s="2" t="s">
        <v>1094</v>
      </c>
      <c r="I406" s="2" t="s">
        <v>1095</v>
      </c>
      <c r="J406" s="2">
        <v>473064</v>
      </c>
      <c r="K406" s="3">
        <v>178800000</v>
      </c>
      <c r="L406">
        <f t="shared" si="12"/>
        <v>0</v>
      </c>
      <c r="N406">
        <f t="shared" si="13"/>
        <v>1</v>
      </c>
    </row>
    <row r="407" spans="1:14" ht="25.5">
      <c r="A407">
        <v>406</v>
      </c>
      <c r="B407" s="2" t="s">
        <v>1096</v>
      </c>
      <c r="C407" s="2">
        <v>1988</v>
      </c>
      <c r="D407" s="2" t="s">
        <v>79</v>
      </c>
      <c r="E407" s="2" t="s">
        <v>110</v>
      </c>
      <c r="F407" s="2">
        <v>8</v>
      </c>
      <c r="G407" s="4" t="s">
        <v>90</v>
      </c>
      <c r="H407" s="2" t="s">
        <v>1097</v>
      </c>
      <c r="I407" s="2" t="s">
        <v>1098</v>
      </c>
      <c r="J407" s="2">
        <v>164918</v>
      </c>
      <c r="K407" s="3">
        <v>553171</v>
      </c>
      <c r="L407">
        <f t="shared" si="12"/>
        <v>0</v>
      </c>
      <c r="N407">
        <f t="shared" si="13"/>
        <v>0</v>
      </c>
    </row>
    <row r="408" spans="1:14" ht="23.25">
      <c r="A408">
        <v>407</v>
      </c>
      <c r="B408" s="2" t="s">
        <v>1099</v>
      </c>
      <c r="C408" s="2">
        <v>1987</v>
      </c>
      <c r="D408" s="2" t="s">
        <v>246</v>
      </c>
      <c r="E408" s="2" t="s">
        <v>102</v>
      </c>
      <c r="F408" s="2">
        <v>8</v>
      </c>
      <c r="G408" s="2">
        <v>77</v>
      </c>
      <c r="H408" s="2" t="s">
        <v>765</v>
      </c>
      <c r="I408" s="2" t="s">
        <v>1100</v>
      </c>
      <c r="J408" s="2">
        <v>393899</v>
      </c>
      <c r="K408" s="3">
        <v>30857814</v>
      </c>
      <c r="L408">
        <f t="shared" si="12"/>
        <v>0</v>
      </c>
      <c r="N408">
        <f t="shared" si="13"/>
        <v>0</v>
      </c>
    </row>
    <row r="409" spans="1:14" ht="23.25">
      <c r="A409">
        <v>408</v>
      </c>
      <c r="B409" s="2" t="s">
        <v>1101</v>
      </c>
      <c r="C409" s="2">
        <v>1987</v>
      </c>
      <c r="D409" s="2" t="s">
        <v>385</v>
      </c>
      <c r="E409" s="2" t="s">
        <v>60</v>
      </c>
      <c r="F409" s="2">
        <v>8</v>
      </c>
      <c r="G409" s="2">
        <v>79</v>
      </c>
      <c r="H409" s="2" t="s">
        <v>771</v>
      </c>
      <c r="I409" s="2" t="s">
        <v>493</v>
      </c>
      <c r="J409" s="2">
        <v>64722</v>
      </c>
      <c r="K409" s="3">
        <v>3333969</v>
      </c>
      <c r="L409">
        <f t="shared" si="12"/>
        <v>0</v>
      </c>
      <c r="N409">
        <f t="shared" si="13"/>
        <v>0</v>
      </c>
    </row>
    <row r="410" spans="1:14" ht="23.25">
      <c r="A410">
        <v>409</v>
      </c>
      <c r="B410" s="2" t="s">
        <v>1102</v>
      </c>
      <c r="C410" s="2">
        <v>1987</v>
      </c>
      <c r="D410" s="2" t="s">
        <v>295</v>
      </c>
      <c r="E410" s="2" t="s">
        <v>60</v>
      </c>
      <c r="F410" s="2">
        <v>8</v>
      </c>
      <c r="G410" s="2">
        <v>88</v>
      </c>
      <c r="H410" s="2" t="s">
        <v>1103</v>
      </c>
      <c r="I410" s="2" t="s">
        <v>1104</v>
      </c>
      <c r="J410" s="2">
        <v>31163</v>
      </c>
      <c r="K410" s="3">
        <v>4542825</v>
      </c>
      <c r="L410">
        <f t="shared" si="12"/>
        <v>0</v>
      </c>
      <c r="N410">
        <f t="shared" si="13"/>
        <v>0</v>
      </c>
    </row>
    <row r="411" spans="1:14" ht="25.5">
      <c r="A411">
        <v>410</v>
      </c>
      <c r="B411" s="2" t="s">
        <v>1105</v>
      </c>
      <c r="C411" s="2">
        <v>1986</v>
      </c>
      <c r="D411" s="2" t="s">
        <v>109</v>
      </c>
      <c r="E411" s="2" t="s">
        <v>110</v>
      </c>
      <c r="F411" s="2">
        <v>8</v>
      </c>
      <c r="G411" s="2">
        <v>78</v>
      </c>
      <c r="H411" s="2" t="s">
        <v>111</v>
      </c>
      <c r="I411" s="2" t="s">
        <v>1106</v>
      </c>
      <c r="J411" s="2">
        <v>150140</v>
      </c>
      <c r="K411" s="4" t="s">
        <v>90</v>
      </c>
      <c r="L411">
        <f t="shared" si="12"/>
        <v>0</v>
      </c>
      <c r="N411">
        <f t="shared" si="13"/>
        <v>1</v>
      </c>
    </row>
    <row r="412" spans="1:14" ht="35.25">
      <c r="A412">
        <v>411</v>
      </c>
      <c r="B412" s="2" t="s">
        <v>1107</v>
      </c>
      <c r="C412" s="2">
        <v>1984</v>
      </c>
      <c r="D412" s="2" t="s">
        <v>396</v>
      </c>
      <c r="E412" s="2" t="s">
        <v>27</v>
      </c>
      <c r="F412" s="2">
        <v>8</v>
      </c>
      <c r="G412" s="2">
        <v>84</v>
      </c>
      <c r="H412" s="2" t="s">
        <v>179</v>
      </c>
      <c r="I412" s="2" t="s">
        <v>180</v>
      </c>
      <c r="J412" s="2">
        <v>799795</v>
      </c>
      <c r="K412" s="3">
        <v>38400000</v>
      </c>
      <c r="L412">
        <f t="shared" si="12"/>
        <v>0</v>
      </c>
      <c r="N412">
        <f t="shared" si="13"/>
        <v>0</v>
      </c>
    </row>
    <row r="413" spans="1:14" ht="35.25">
      <c r="A413">
        <v>412</v>
      </c>
      <c r="B413" s="2" t="s">
        <v>1108</v>
      </c>
      <c r="C413" s="2">
        <v>1982</v>
      </c>
      <c r="D413" s="2" t="s">
        <v>1109</v>
      </c>
      <c r="E413" s="2" t="s">
        <v>47</v>
      </c>
      <c r="F413" s="2">
        <v>8</v>
      </c>
      <c r="G413" s="2">
        <v>79</v>
      </c>
      <c r="H413" s="2" t="s">
        <v>1110</v>
      </c>
      <c r="I413" s="2" t="s">
        <v>1111</v>
      </c>
      <c r="J413" s="2">
        <v>217664</v>
      </c>
      <c r="K413" s="3">
        <v>52767889</v>
      </c>
      <c r="L413">
        <f t="shared" si="12"/>
        <v>0</v>
      </c>
      <c r="N413">
        <f t="shared" si="13"/>
        <v>1</v>
      </c>
    </row>
    <row r="414" spans="1:14" ht="25.5">
      <c r="A414">
        <v>413</v>
      </c>
      <c r="B414" s="2" t="s">
        <v>1112</v>
      </c>
      <c r="C414" s="2">
        <v>1980</v>
      </c>
      <c r="D414" s="2" t="s">
        <v>468</v>
      </c>
      <c r="E414" s="2" t="s">
        <v>60</v>
      </c>
      <c r="F414" s="2">
        <v>8</v>
      </c>
      <c r="G414" s="2">
        <v>84</v>
      </c>
      <c r="H414" s="2" t="s">
        <v>134</v>
      </c>
      <c r="I414" s="2" t="s">
        <v>131</v>
      </c>
      <c r="J414" s="2">
        <v>32195</v>
      </c>
      <c r="K414" s="4" t="s">
        <v>90</v>
      </c>
      <c r="L414">
        <f t="shared" si="12"/>
        <v>0</v>
      </c>
      <c r="N414">
        <f t="shared" si="13"/>
        <v>1</v>
      </c>
    </row>
    <row r="415" spans="1:14" ht="14.25">
      <c r="A415">
        <v>414</v>
      </c>
      <c r="B415" s="2" t="s">
        <v>1113</v>
      </c>
      <c r="C415" s="2">
        <v>1979</v>
      </c>
      <c r="D415" s="2" t="s">
        <v>105</v>
      </c>
      <c r="E415" s="2" t="s">
        <v>93</v>
      </c>
      <c r="F415" s="2">
        <v>8</v>
      </c>
      <c r="G415" s="2">
        <v>83</v>
      </c>
      <c r="H415" s="2" t="s">
        <v>1114</v>
      </c>
      <c r="I415" s="2" t="s">
        <v>282</v>
      </c>
      <c r="J415" s="2">
        <v>65625</v>
      </c>
      <c r="K415" s="3">
        <v>30177511</v>
      </c>
      <c r="L415">
        <f t="shared" si="12"/>
        <v>0</v>
      </c>
      <c r="N415">
        <f t="shared" si="13"/>
        <v>0</v>
      </c>
    </row>
    <row r="416" spans="1:14" ht="23.25">
      <c r="A416">
        <v>415</v>
      </c>
      <c r="B416" s="2" t="s">
        <v>1115</v>
      </c>
      <c r="C416" s="2">
        <v>1977</v>
      </c>
      <c r="D416" s="2" t="s">
        <v>649</v>
      </c>
      <c r="E416" s="2" t="s">
        <v>93</v>
      </c>
      <c r="F416" s="2">
        <v>8</v>
      </c>
      <c r="G416" s="2">
        <v>92</v>
      </c>
      <c r="H416" s="2" t="s">
        <v>1116</v>
      </c>
      <c r="I416" s="2" t="s">
        <v>1116</v>
      </c>
      <c r="J416" s="2">
        <v>251823</v>
      </c>
      <c r="K416" s="3">
        <v>39200000</v>
      </c>
      <c r="L416">
        <f t="shared" si="12"/>
        <v>0</v>
      </c>
      <c r="N416">
        <f t="shared" si="13"/>
        <v>0</v>
      </c>
    </row>
    <row r="417" spans="1:14" ht="23.25">
      <c r="A417">
        <v>416</v>
      </c>
      <c r="B417" s="2" t="s">
        <v>1117</v>
      </c>
      <c r="C417" s="2">
        <v>1975</v>
      </c>
      <c r="D417" s="2" t="s">
        <v>79</v>
      </c>
      <c r="E417" s="2" t="s">
        <v>102</v>
      </c>
      <c r="F417" s="2">
        <v>8</v>
      </c>
      <c r="G417" s="2">
        <v>87</v>
      </c>
      <c r="H417" s="2" t="s">
        <v>48</v>
      </c>
      <c r="I417" s="2" t="s">
        <v>1118</v>
      </c>
      <c r="J417" s="2">
        <v>543388</v>
      </c>
      <c r="K417" s="3">
        <v>260000000</v>
      </c>
      <c r="L417">
        <f t="shared" si="12"/>
        <v>0</v>
      </c>
      <c r="N417">
        <f t="shared" si="13"/>
        <v>1</v>
      </c>
    </row>
    <row r="418" spans="1:14" ht="23.25">
      <c r="A418">
        <v>417</v>
      </c>
      <c r="B418" s="2" t="s">
        <v>1119</v>
      </c>
      <c r="C418" s="2">
        <v>1975</v>
      </c>
      <c r="D418" s="2" t="s">
        <v>109</v>
      </c>
      <c r="E418" s="2" t="s">
        <v>47</v>
      </c>
      <c r="F418" s="2">
        <v>8</v>
      </c>
      <c r="G418" s="2">
        <v>86</v>
      </c>
      <c r="H418" s="2" t="s">
        <v>35</v>
      </c>
      <c r="I418" s="2" t="s">
        <v>32</v>
      </c>
      <c r="J418" s="2">
        <v>235652</v>
      </c>
      <c r="K418" s="3">
        <v>50000000</v>
      </c>
      <c r="L418">
        <f t="shared" si="12"/>
        <v>0</v>
      </c>
      <c r="N418">
        <f t="shared" si="13"/>
        <v>1</v>
      </c>
    </row>
    <row r="419" spans="1:14" ht="23.25">
      <c r="A419">
        <v>418</v>
      </c>
      <c r="B419" s="2" t="s">
        <v>1120</v>
      </c>
      <c r="C419" s="2">
        <v>1974</v>
      </c>
      <c r="D419" s="2" t="s">
        <v>144</v>
      </c>
      <c r="E419" s="2" t="s">
        <v>281</v>
      </c>
      <c r="F419" s="2">
        <v>8</v>
      </c>
      <c r="G419" s="2">
        <v>80</v>
      </c>
      <c r="H419" s="2" t="s">
        <v>1121</v>
      </c>
      <c r="I419" s="2" t="s">
        <v>1122</v>
      </c>
      <c r="J419" s="2">
        <v>143359</v>
      </c>
      <c r="K419" s="3">
        <v>86300000</v>
      </c>
      <c r="L419">
        <f t="shared" si="12"/>
        <v>0</v>
      </c>
      <c r="N419">
        <f t="shared" si="13"/>
        <v>1</v>
      </c>
    </row>
    <row r="420" spans="1:14" ht="23.25">
      <c r="A420">
        <v>419</v>
      </c>
      <c r="B420" s="2" t="s">
        <v>1123</v>
      </c>
      <c r="C420" s="2">
        <v>1973</v>
      </c>
      <c r="D420" s="2" t="s">
        <v>153</v>
      </c>
      <c r="E420" s="2" t="s">
        <v>47</v>
      </c>
      <c r="F420" s="2">
        <v>8</v>
      </c>
      <c r="G420" s="2">
        <v>58</v>
      </c>
      <c r="H420" s="2" t="s">
        <v>1124</v>
      </c>
      <c r="I420" s="2" t="s">
        <v>548</v>
      </c>
      <c r="J420" s="2">
        <v>121627</v>
      </c>
      <c r="K420" s="3">
        <v>53267000</v>
      </c>
      <c r="L420">
        <f t="shared" si="12"/>
        <v>0</v>
      </c>
      <c r="N420">
        <f t="shared" si="13"/>
        <v>1</v>
      </c>
    </row>
    <row r="421" spans="1:14" ht="23.25">
      <c r="A421">
        <v>420</v>
      </c>
      <c r="B421" s="2" t="s">
        <v>1125</v>
      </c>
      <c r="C421" s="2">
        <v>1973</v>
      </c>
      <c r="D421" s="2" t="s">
        <v>140</v>
      </c>
      <c r="E421" s="2" t="s">
        <v>1126</v>
      </c>
      <c r="F421" s="2">
        <v>8</v>
      </c>
      <c r="G421" s="2">
        <v>81</v>
      </c>
      <c r="H421" s="2" t="s">
        <v>1127</v>
      </c>
      <c r="I421" s="2" t="s">
        <v>334</v>
      </c>
      <c r="J421" s="2">
        <v>362393</v>
      </c>
      <c r="K421" s="3">
        <v>232906145</v>
      </c>
      <c r="L421">
        <f t="shared" si="12"/>
        <v>0</v>
      </c>
      <c r="N421">
        <f t="shared" si="13"/>
        <v>1</v>
      </c>
    </row>
    <row r="422" spans="1:14" ht="25.5">
      <c r="A422">
        <v>421</v>
      </c>
      <c r="B422" s="2" t="s">
        <v>1128</v>
      </c>
      <c r="C422" s="2">
        <v>1972</v>
      </c>
      <c r="D422" s="2" t="s">
        <v>410</v>
      </c>
      <c r="E422" s="2" t="s">
        <v>258</v>
      </c>
      <c r="F422" s="2">
        <v>8</v>
      </c>
      <c r="G422" s="4" t="s">
        <v>90</v>
      </c>
      <c r="H422" s="2" t="s">
        <v>572</v>
      </c>
      <c r="I422" s="2" t="s">
        <v>870</v>
      </c>
      <c r="J422" s="2">
        <v>44748</v>
      </c>
      <c r="K422" s="3">
        <v>4081254</v>
      </c>
      <c r="L422">
        <f t="shared" si="12"/>
        <v>0</v>
      </c>
      <c r="N422">
        <f t="shared" si="13"/>
        <v>0</v>
      </c>
    </row>
    <row r="423" spans="1:14" ht="35.25">
      <c r="A423">
        <v>422</v>
      </c>
      <c r="B423" s="2" t="s">
        <v>1129</v>
      </c>
      <c r="C423" s="2">
        <v>1971</v>
      </c>
      <c r="D423" s="2" t="s">
        <v>123</v>
      </c>
      <c r="E423" s="2" t="s">
        <v>60</v>
      </c>
      <c r="F423" s="2">
        <v>8</v>
      </c>
      <c r="G423" s="2">
        <v>93</v>
      </c>
      <c r="H423" s="2" t="s">
        <v>808</v>
      </c>
      <c r="I423" s="2" t="s">
        <v>1130</v>
      </c>
      <c r="J423" s="2">
        <v>42456</v>
      </c>
      <c r="K423" s="3">
        <v>29133000</v>
      </c>
      <c r="L423">
        <f t="shared" si="12"/>
        <v>0</v>
      </c>
      <c r="N423">
        <f t="shared" si="13"/>
        <v>0</v>
      </c>
    </row>
    <row r="424" spans="1:14" ht="23.25">
      <c r="A424">
        <v>423</v>
      </c>
      <c r="B424" s="2" t="s">
        <v>1131</v>
      </c>
      <c r="C424" s="2">
        <v>1971</v>
      </c>
      <c r="D424" s="2" t="s">
        <v>227</v>
      </c>
      <c r="E424" s="2" t="s">
        <v>60</v>
      </c>
      <c r="F424" s="2">
        <v>8</v>
      </c>
      <c r="G424" s="2">
        <v>67</v>
      </c>
      <c r="H424" s="2" t="s">
        <v>1132</v>
      </c>
      <c r="I424" s="2" t="s">
        <v>1133</v>
      </c>
      <c r="J424" s="2">
        <v>39491</v>
      </c>
      <c r="K424" s="3">
        <v>80500000</v>
      </c>
      <c r="L424">
        <f t="shared" si="12"/>
        <v>0</v>
      </c>
      <c r="N424">
        <f t="shared" si="13"/>
        <v>1</v>
      </c>
    </row>
    <row r="425" spans="1:14" ht="23.25">
      <c r="A425">
        <v>424</v>
      </c>
      <c r="B425" s="2" t="s">
        <v>1134</v>
      </c>
      <c r="C425" s="2">
        <v>1970</v>
      </c>
      <c r="D425" s="2" t="s">
        <v>257</v>
      </c>
      <c r="E425" s="2" t="s">
        <v>17</v>
      </c>
      <c r="F425" s="2">
        <v>8</v>
      </c>
      <c r="G425" s="2">
        <v>100</v>
      </c>
      <c r="H425" s="2" t="s">
        <v>1135</v>
      </c>
      <c r="I425" s="2" t="s">
        <v>1136</v>
      </c>
      <c r="J425" s="2">
        <v>27067</v>
      </c>
      <c r="K425" s="3">
        <v>541940</v>
      </c>
      <c r="L425">
        <f t="shared" si="12"/>
        <v>0</v>
      </c>
      <c r="N425">
        <f t="shared" si="13"/>
        <v>0</v>
      </c>
    </row>
    <row r="426" spans="1:14" ht="35.25">
      <c r="A426">
        <v>425</v>
      </c>
      <c r="B426" s="2" t="s">
        <v>1137</v>
      </c>
      <c r="C426" s="2">
        <v>1969</v>
      </c>
      <c r="D426" s="2" t="s">
        <v>170</v>
      </c>
      <c r="E426" s="2" t="s">
        <v>47</v>
      </c>
      <c r="F426" s="2">
        <v>8</v>
      </c>
      <c r="G426" s="2">
        <v>66</v>
      </c>
      <c r="H426" s="2" t="s">
        <v>369</v>
      </c>
      <c r="I426" s="2" t="s">
        <v>370</v>
      </c>
      <c r="J426" s="2">
        <v>201888</v>
      </c>
      <c r="K426" s="3">
        <v>102308889</v>
      </c>
      <c r="L426">
        <f t="shared" si="12"/>
        <v>0</v>
      </c>
      <c r="N426">
        <f t="shared" si="13"/>
        <v>1</v>
      </c>
    </row>
    <row r="427" spans="1:14" ht="25.5">
      <c r="A427">
        <v>426</v>
      </c>
      <c r="B427" s="2" t="s">
        <v>1138</v>
      </c>
      <c r="C427" s="2">
        <v>1968</v>
      </c>
      <c r="D427" s="2" t="s">
        <v>178</v>
      </c>
      <c r="E427" s="2" t="s">
        <v>60</v>
      </c>
      <c r="F427" s="2">
        <v>8</v>
      </c>
      <c r="G427" s="2">
        <v>96</v>
      </c>
      <c r="H427" s="2" t="s">
        <v>156</v>
      </c>
      <c r="I427" s="2" t="s">
        <v>1139</v>
      </c>
      <c r="J427" s="2">
        <v>193674</v>
      </c>
      <c r="K427" s="4" t="s">
        <v>90</v>
      </c>
      <c r="L427">
        <f t="shared" si="12"/>
        <v>0</v>
      </c>
      <c r="N427">
        <f t="shared" si="13"/>
        <v>1</v>
      </c>
    </row>
    <row r="428" spans="1:14" ht="23.25">
      <c r="A428">
        <v>427</v>
      </c>
      <c r="B428" s="2" t="s">
        <v>1140</v>
      </c>
      <c r="C428" s="2">
        <v>1968</v>
      </c>
      <c r="D428" s="2" t="s">
        <v>148</v>
      </c>
      <c r="E428" s="2" t="s">
        <v>102</v>
      </c>
      <c r="F428" s="2">
        <v>8</v>
      </c>
      <c r="G428" s="2">
        <v>79</v>
      </c>
      <c r="H428" s="2" t="s">
        <v>1124</v>
      </c>
      <c r="I428" s="2" t="s">
        <v>845</v>
      </c>
      <c r="J428" s="2">
        <v>165167</v>
      </c>
      <c r="K428" s="3">
        <v>33395426</v>
      </c>
      <c r="L428">
        <f t="shared" si="12"/>
        <v>0</v>
      </c>
      <c r="N428">
        <f t="shared" si="13"/>
        <v>0</v>
      </c>
    </row>
    <row r="429" spans="1:14" ht="23.25">
      <c r="A429">
        <v>428</v>
      </c>
      <c r="B429" s="2" t="s">
        <v>1141</v>
      </c>
      <c r="C429" s="2">
        <v>1967</v>
      </c>
      <c r="D429" s="2" t="s">
        <v>144</v>
      </c>
      <c r="E429" s="2" t="s">
        <v>93</v>
      </c>
      <c r="F429" s="2">
        <v>8</v>
      </c>
      <c r="G429" s="2">
        <v>83</v>
      </c>
      <c r="H429" s="2" t="s">
        <v>1142</v>
      </c>
      <c r="I429" s="2" t="s">
        <v>1095</v>
      </c>
      <c r="J429" s="2">
        <v>253676</v>
      </c>
      <c r="K429" s="3">
        <v>104945305</v>
      </c>
      <c r="L429">
        <f t="shared" si="12"/>
        <v>0</v>
      </c>
      <c r="N429">
        <f t="shared" si="13"/>
        <v>1</v>
      </c>
    </row>
    <row r="430" spans="1:14" ht="25.5">
      <c r="A430">
        <v>429</v>
      </c>
      <c r="B430" s="2" t="s">
        <v>1143</v>
      </c>
      <c r="C430" s="2">
        <v>1966</v>
      </c>
      <c r="D430" s="2" t="s">
        <v>312</v>
      </c>
      <c r="E430" s="2" t="s">
        <v>17</v>
      </c>
      <c r="F430" s="2">
        <v>8</v>
      </c>
      <c r="G430" s="2">
        <v>75</v>
      </c>
      <c r="H430" s="2" t="s">
        <v>1142</v>
      </c>
      <c r="I430" s="2" t="s">
        <v>1144</v>
      </c>
      <c r="J430" s="2">
        <v>68926</v>
      </c>
      <c r="K430" s="4" t="s">
        <v>90</v>
      </c>
      <c r="L430">
        <f t="shared" si="12"/>
        <v>0</v>
      </c>
      <c r="N430">
        <f t="shared" si="13"/>
        <v>1</v>
      </c>
    </row>
    <row r="431" spans="1:14" ht="23.25">
      <c r="A431">
        <v>430</v>
      </c>
      <c r="B431" s="2" t="s">
        <v>1145</v>
      </c>
      <c r="C431" s="2">
        <v>1965</v>
      </c>
      <c r="D431" s="2" t="s">
        <v>546</v>
      </c>
      <c r="E431" s="2" t="s">
        <v>47</v>
      </c>
      <c r="F431" s="2">
        <v>8</v>
      </c>
      <c r="G431" s="2">
        <v>63</v>
      </c>
      <c r="H431" s="2" t="s">
        <v>1146</v>
      </c>
      <c r="I431" s="2" t="s">
        <v>1147</v>
      </c>
      <c r="J431" s="2">
        <v>205425</v>
      </c>
      <c r="K431" s="3">
        <v>163214286</v>
      </c>
      <c r="L431">
        <f t="shared" si="12"/>
        <v>0</v>
      </c>
      <c r="N431">
        <f t="shared" si="13"/>
        <v>1</v>
      </c>
    </row>
    <row r="432" spans="1:14" ht="14.25">
      <c r="A432">
        <v>431</v>
      </c>
      <c r="B432" s="2" t="s">
        <v>1148</v>
      </c>
      <c r="C432" s="2">
        <v>1965</v>
      </c>
      <c r="D432" s="2" t="s">
        <v>1149</v>
      </c>
      <c r="E432" s="2" t="s">
        <v>60</v>
      </c>
      <c r="F432" s="2">
        <v>8</v>
      </c>
      <c r="G432" s="2">
        <v>69</v>
      </c>
      <c r="H432" s="2" t="s">
        <v>378</v>
      </c>
      <c r="I432" s="2" t="s">
        <v>1150</v>
      </c>
      <c r="J432" s="2">
        <v>69903</v>
      </c>
      <c r="K432" s="3">
        <v>111722000</v>
      </c>
      <c r="L432">
        <f t="shared" si="12"/>
        <v>0</v>
      </c>
      <c r="N432">
        <f t="shared" si="13"/>
        <v>1</v>
      </c>
    </row>
    <row r="433" spans="1:14" ht="23.25">
      <c r="A433">
        <v>432</v>
      </c>
      <c r="B433" s="2" t="s">
        <v>1151</v>
      </c>
      <c r="C433" s="2">
        <v>1964</v>
      </c>
      <c r="D433" s="2" t="s">
        <v>348</v>
      </c>
      <c r="E433" s="2" t="s">
        <v>27</v>
      </c>
      <c r="F433" s="2">
        <v>8</v>
      </c>
      <c r="G433" s="2">
        <v>65</v>
      </c>
      <c r="H433" s="2" t="s">
        <v>66</v>
      </c>
      <c r="I433" s="2" t="s">
        <v>67</v>
      </c>
      <c r="J433" s="2">
        <v>198219</v>
      </c>
      <c r="K433" s="3">
        <v>14500000</v>
      </c>
      <c r="L433">
        <f t="shared" si="12"/>
        <v>0</v>
      </c>
      <c r="N433">
        <f t="shared" si="13"/>
        <v>0</v>
      </c>
    </row>
    <row r="434" spans="1:14" ht="23.25">
      <c r="A434">
        <v>433</v>
      </c>
      <c r="B434" s="2" t="s">
        <v>1152</v>
      </c>
      <c r="C434" s="2">
        <v>1963</v>
      </c>
      <c r="D434" s="2" t="s">
        <v>410</v>
      </c>
      <c r="E434" s="2" t="s">
        <v>17</v>
      </c>
      <c r="F434" s="2">
        <v>8</v>
      </c>
      <c r="G434" s="2">
        <v>91</v>
      </c>
      <c r="H434" s="2" t="s">
        <v>848</v>
      </c>
      <c r="I434" s="2" t="s">
        <v>1153</v>
      </c>
      <c r="J434" s="2">
        <v>108844</v>
      </c>
      <c r="K434" s="3">
        <v>50690</v>
      </c>
      <c r="L434">
        <f t="shared" si="12"/>
        <v>0</v>
      </c>
      <c r="N434">
        <f t="shared" si="13"/>
        <v>0</v>
      </c>
    </row>
    <row r="435" spans="1:14" ht="35.25">
      <c r="A435">
        <v>434</v>
      </c>
      <c r="B435" s="2" t="s">
        <v>1154</v>
      </c>
      <c r="C435" s="2">
        <v>1962</v>
      </c>
      <c r="D435" s="2" t="s">
        <v>700</v>
      </c>
      <c r="E435" s="2" t="s">
        <v>17</v>
      </c>
      <c r="F435" s="2">
        <v>8</v>
      </c>
      <c r="G435" s="4" t="s">
        <v>90</v>
      </c>
      <c r="H435" s="2" t="s">
        <v>1155</v>
      </c>
      <c r="I435" s="2" t="s">
        <v>1156</v>
      </c>
      <c r="J435" s="2">
        <v>28057</v>
      </c>
      <c r="K435" s="4" t="s">
        <v>90</v>
      </c>
      <c r="L435">
        <f t="shared" si="12"/>
        <v>0</v>
      </c>
      <c r="N435">
        <f t="shared" si="13"/>
        <v>1</v>
      </c>
    </row>
    <row r="436" spans="1:14" ht="23.25">
      <c r="A436">
        <v>435</v>
      </c>
      <c r="B436" s="2" t="s">
        <v>1157</v>
      </c>
      <c r="C436" s="2">
        <v>1961</v>
      </c>
      <c r="D436" s="2" t="s">
        <v>261</v>
      </c>
      <c r="E436" s="2" t="s">
        <v>60</v>
      </c>
      <c r="F436" s="2">
        <v>8</v>
      </c>
      <c r="G436" s="2">
        <v>90</v>
      </c>
      <c r="H436" s="2" t="s">
        <v>1158</v>
      </c>
      <c r="I436" s="2" t="s">
        <v>370</v>
      </c>
      <c r="J436" s="2">
        <v>75067</v>
      </c>
      <c r="K436" s="3">
        <v>8284000</v>
      </c>
      <c r="L436">
        <f t="shared" si="12"/>
        <v>0</v>
      </c>
      <c r="N436">
        <f t="shared" si="13"/>
        <v>0</v>
      </c>
    </row>
    <row r="437" spans="1:14" ht="23.25">
      <c r="A437">
        <v>436</v>
      </c>
      <c r="B437" s="2" t="s">
        <v>1159</v>
      </c>
      <c r="C437" s="2">
        <v>1960</v>
      </c>
      <c r="D437" s="2" t="s">
        <v>1160</v>
      </c>
      <c r="E437" s="2" t="s">
        <v>93</v>
      </c>
      <c r="F437" s="2">
        <v>8</v>
      </c>
      <c r="G437" s="2">
        <v>95</v>
      </c>
      <c r="H437" s="2" t="s">
        <v>848</v>
      </c>
      <c r="I437" s="2" t="s">
        <v>1153</v>
      </c>
      <c r="J437" s="2">
        <v>66621</v>
      </c>
      <c r="K437" s="3">
        <v>19516000</v>
      </c>
      <c r="L437">
        <f t="shared" si="12"/>
        <v>0</v>
      </c>
      <c r="N437">
        <f t="shared" si="13"/>
        <v>0</v>
      </c>
    </row>
    <row r="438" spans="1:14" ht="23.25">
      <c r="A438">
        <v>437</v>
      </c>
      <c r="B438" s="2" t="s">
        <v>1161</v>
      </c>
      <c r="C438" s="2">
        <v>1959</v>
      </c>
      <c r="D438" s="2" t="s">
        <v>712</v>
      </c>
      <c r="E438" s="2" t="s">
        <v>27</v>
      </c>
      <c r="F438" s="2">
        <v>8</v>
      </c>
      <c r="G438" s="2">
        <v>93</v>
      </c>
      <c r="H438" s="2" t="s">
        <v>1162</v>
      </c>
      <c r="I438" s="2" t="s">
        <v>1163</v>
      </c>
      <c r="J438" s="2">
        <v>56305</v>
      </c>
      <c r="K438" s="3">
        <v>12535000</v>
      </c>
      <c r="L438">
        <f t="shared" si="12"/>
        <v>0</v>
      </c>
      <c r="N438">
        <f t="shared" si="13"/>
        <v>0</v>
      </c>
    </row>
    <row r="439" spans="1:14" ht="23.25">
      <c r="A439">
        <v>438</v>
      </c>
      <c r="B439" s="2" t="s">
        <v>1164</v>
      </c>
      <c r="C439" s="2">
        <v>1959</v>
      </c>
      <c r="D439" s="2" t="s">
        <v>64</v>
      </c>
      <c r="E439" s="2" t="s">
        <v>22</v>
      </c>
      <c r="F439" s="2">
        <v>8</v>
      </c>
      <c r="G439" s="2">
        <v>95</v>
      </c>
      <c r="H439" s="2" t="s">
        <v>1165</v>
      </c>
      <c r="I439" s="2" t="s">
        <v>138</v>
      </c>
      <c r="J439" s="2">
        <v>59847</v>
      </c>
      <c r="K439" s="3">
        <v>11900000</v>
      </c>
      <c r="L439">
        <f t="shared" si="12"/>
        <v>0</v>
      </c>
      <c r="N439">
        <f t="shared" si="13"/>
        <v>0</v>
      </c>
    </row>
    <row r="440" spans="1:14" ht="23.25">
      <c r="A440">
        <v>439</v>
      </c>
      <c r="B440" s="2" t="s">
        <v>1166</v>
      </c>
      <c r="C440" s="2">
        <v>1958</v>
      </c>
      <c r="D440" s="2" t="s">
        <v>280</v>
      </c>
      <c r="E440" s="2" t="s">
        <v>22</v>
      </c>
      <c r="F440" s="2">
        <v>8</v>
      </c>
      <c r="G440" s="2">
        <v>99</v>
      </c>
      <c r="H440" s="2" t="s">
        <v>399</v>
      </c>
      <c r="I440" s="2" t="s">
        <v>845</v>
      </c>
      <c r="J440" s="2">
        <v>98431</v>
      </c>
      <c r="K440" s="3">
        <v>2237659</v>
      </c>
      <c r="L440">
        <f t="shared" si="12"/>
        <v>0</v>
      </c>
      <c r="N440">
        <f t="shared" si="13"/>
        <v>0</v>
      </c>
    </row>
    <row r="441" spans="1:14" ht="23.25">
      <c r="A441">
        <v>440</v>
      </c>
      <c r="B441" s="2" t="s">
        <v>1167</v>
      </c>
      <c r="C441" s="2">
        <v>1958</v>
      </c>
      <c r="D441" s="2" t="s">
        <v>323</v>
      </c>
      <c r="E441" s="2" t="s">
        <v>17</v>
      </c>
      <c r="F441" s="2">
        <v>8</v>
      </c>
      <c r="G441" s="2">
        <v>84</v>
      </c>
      <c r="H441" s="2" t="s">
        <v>1168</v>
      </c>
      <c r="I441" s="2" t="s">
        <v>1144</v>
      </c>
      <c r="J441" s="2">
        <v>45062</v>
      </c>
      <c r="K441" s="3">
        <v>17570324</v>
      </c>
      <c r="L441">
        <f t="shared" si="12"/>
        <v>0</v>
      </c>
      <c r="N441">
        <f t="shared" si="13"/>
        <v>0</v>
      </c>
    </row>
    <row r="442" spans="1:14" ht="35.25">
      <c r="A442">
        <v>441</v>
      </c>
      <c r="B442" s="2" t="s">
        <v>1169</v>
      </c>
      <c r="C442" s="2">
        <v>1957</v>
      </c>
      <c r="D442" s="2" t="s">
        <v>34</v>
      </c>
      <c r="E442" s="2" t="s">
        <v>60</v>
      </c>
      <c r="F442" s="2">
        <v>8</v>
      </c>
      <c r="G442" s="2">
        <v>100</v>
      </c>
      <c r="H442" s="2" t="s">
        <v>1170</v>
      </c>
      <c r="I442" s="2" t="s">
        <v>1171</v>
      </c>
      <c r="J442" s="2">
        <v>28137</v>
      </c>
      <c r="K442" s="4" t="s">
        <v>90</v>
      </c>
      <c r="L442">
        <f t="shared" si="12"/>
        <v>0</v>
      </c>
      <c r="N442">
        <f t="shared" si="13"/>
        <v>1</v>
      </c>
    </row>
    <row r="443" spans="1:14" ht="25.5">
      <c r="A443">
        <v>442</v>
      </c>
      <c r="B443" s="2" t="s">
        <v>1172</v>
      </c>
      <c r="C443" s="2">
        <v>1956</v>
      </c>
      <c r="D443" s="2" t="s">
        <v>1086</v>
      </c>
      <c r="E443" s="2" t="s">
        <v>22</v>
      </c>
      <c r="F443" s="2">
        <v>8</v>
      </c>
      <c r="G443" s="2">
        <v>91</v>
      </c>
      <c r="H443" s="2" t="s">
        <v>269</v>
      </c>
      <c r="I443" s="2" t="s">
        <v>1173</v>
      </c>
      <c r="J443" s="2">
        <v>81702</v>
      </c>
      <c r="K443" s="4" t="s">
        <v>90</v>
      </c>
      <c r="L443">
        <f t="shared" si="12"/>
        <v>0</v>
      </c>
      <c r="N443">
        <f t="shared" si="13"/>
        <v>1</v>
      </c>
    </row>
    <row r="444" spans="1:14" ht="23.25">
      <c r="A444">
        <v>443</v>
      </c>
      <c r="B444" s="2" t="s">
        <v>1174</v>
      </c>
      <c r="C444" s="2">
        <v>1955</v>
      </c>
      <c r="D444" s="2" t="s">
        <v>676</v>
      </c>
      <c r="E444" s="2" t="s">
        <v>22</v>
      </c>
      <c r="F444" s="2">
        <v>8</v>
      </c>
      <c r="G444" s="2">
        <v>99</v>
      </c>
      <c r="H444" s="2" t="s">
        <v>1175</v>
      </c>
      <c r="I444" s="2" t="s">
        <v>1176</v>
      </c>
      <c r="J444" s="2">
        <v>81980</v>
      </c>
      <c r="K444" s="3">
        <v>654000</v>
      </c>
      <c r="L444">
        <f t="shared" si="12"/>
        <v>0</v>
      </c>
      <c r="N444">
        <f t="shared" si="13"/>
        <v>0</v>
      </c>
    </row>
    <row r="445" spans="1:14" ht="25.5">
      <c r="A445">
        <v>444</v>
      </c>
      <c r="B445" s="2" t="s">
        <v>1177</v>
      </c>
      <c r="C445" s="2">
        <v>1954</v>
      </c>
      <c r="D445" s="2" t="s">
        <v>323</v>
      </c>
      <c r="E445" s="2" t="s">
        <v>17</v>
      </c>
      <c r="F445" s="2">
        <v>8</v>
      </c>
      <c r="G445" s="4" t="s">
        <v>90</v>
      </c>
      <c r="H445" s="2" t="s">
        <v>848</v>
      </c>
      <c r="I445" s="2" t="s">
        <v>536</v>
      </c>
      <c r="J445" s="2">
        <v>58314</v>
      </c>
      <c r="K445" s="4" t="s">
        <v>90</v>
      </c>
      <c r="L445">
        <f t="shared" si="12"/>
        <v>0</v>
      </c>
      <c r="N445">
        <f t="shared" si="13"/>
        <v>1</v>
      </c>
    </row>
    <row r="446" spans="1:14" ht="35.25">
      <c r="A446">
        <v>445</v>
      </c>
      <c r="B446" s="2" t="s">
        <v>1178</v>
      </c>
      <c r="C446" s="2">
        <v>1955</v>
      </c>
      <c r="D446" s="2" t="s">
        <v>223</v>
      </c>
      <c r="E446" s="2" t="s">
        <v>22</v>
      </c>
      <c r="F446" s="2">
        <v>8</v>
      </c>
      <c r="G446" s="4" t="s">
        <v>90</v>
      </c>
      <c r="H446" s="2" t="s">
        <v>855</v>
      </c>
      <c r="I446" s="2" t="s">
        <v>1179</v>
      </c>
      <c r="J446" s="2">
        <v>61503</v>
      </c>
      <c r="K446" s="4" t="s">
        <v>90</v>
      </c>
      <c r="L446">
        <f t="shared" si="12"/>
        <v>0</v>
      </c>
      <c r="N446">
        <f t="shared" si="13"/>
        <v>1</v>
      </c>
    </row>
    <row r="447" spans="1:14" ht="25.5">
      <c r="A447">
        <v>446</v>
      </c>
      <c r="B447" s="2" t="s">
        <v>1180</v>
      </c>
      <c r="C447" s="2">
        <v>1953</v>
      </c>
      <c r="D447" s="2" t="s">
        <v>660</v>
      </c>
      <c r="E447" s="2" t="s">
        <v>93</v>
      </c>
      <c r="F447" s="2">
        <v>8</v>
      </c>
      <c r="G447" s="2">
        <v>84</v>
      </c>
      <c r="H447" s="2" t="s">
        <v>284</v>
      </c>
      <c r="I447" s="2" t="s">
        <v>290</v>
      </c>
      <c r="J447" s="2">
        <v>51046</v>
      </c>
      <c r="K447" s="4" t="s">
        <v>90</v>
      </c>
      <c r="L447">
        <f t="shared" si="12"/>
        <v>0</v>
      </c>
      <c r="N447">
        <f t="shared" si="13"/>
        <v>1</v>
      </c>
    </row>
    <row r="448" spans="1:14" ht="25.5">
      <c r="A448">
        <v>447</v>
      </c>
      <c r="B448" s="2" t="s">
        <v>1181</v>
      </c>
      <c r="C448" s="2">
        <v>1953</v>
      </c>
      <c r="D448" s="2" t="s">
        <v>123</v>
      </c>
      <c r="E448" s="2" t="s">
        <v>93</v>
      </c>
      <c r="F448" s="2">
        <v>8</v>
      </c>
      <c r="G448" s="2">
        <v>78</v>
      </c>
      <c r="H448" s="2" t="s">
        <v>844</v>
      </c>
      <c r="I448" s="2" t="s">
        <v>551</v>
      </c>
      <c r="J448" s="2">
        <v>127256</v>
      </c>
      <c r="K448" s="4" t="s">
        <v>90</v>
      </c>
      <c r="L448">
        <f t="shared" si="12"/>
        <v>0</v>
      </c>
      <c r="N448">
        <f t="shared" si="13"/>
        <v>1</v>
      </c>
    </row>
    <row r="449" spans="1:14" ht="23.25">
      <c r="A449">
        <v>448</v>
      </c>
      <c r="B449" s="2" t="s">
        <v>1182</v>
      </c>
      <c r="C449" s="2">
        <v>1951</v>
      </c>
      <c r="D449" s="2" t="s">
        <v>140</v>
      </c>
      <c r="E449" s="2" t="s">
        <v>17</v>
      </c>
      <c r="F449" s="2">
        <v>8</v>
      </c>
      <c r="G449" s="2">
        <v>97</v>
      </c>
      <c r="H449" s="2" t="s">
        <v>853</v>
      </c>
      <c r="I449" s="2" t="s">
        <v>1183</v>
      </c>
      <c r="J449" s="2">
        <v>99182</v>
      </c>
      <c r="K449" s="3">
        <v>8000000</v>
      </c>
      <c r="L449">
        <f t="shared" si="12"/>
        <v>0</v>
      </c>
      <c r="N449">
        <f t="shared" si="13"/>
        <v>0</v>
      </c>
    </row>
    <row r="450" spans="1:14" ht="25.5">
      <c r="A450">
        <v>449</v>
      </c>
      <c r="B450" s="2" t="s">
        <v>1184</v>
      </c>
      <c r="C450" s="2">
        <v>1950</v>
      </c>
      <c r="D450" s="2" t="s">
        <v>792</v>
      </c>
      <c r="E450" s="2" t="s">
        <v>60</v>
      </c>
      <c r="F450" s="2">
        <v>8</v>
      </c>
      <c r="G450" s="4" t="s">
        <v>90</v>
      </c>
      <c r="H450" s="2" t="s">
        <v>1185</v>
      </c>
      <c r="I450" s="2" t="s">
        <v>200</v>
      </c>
      <c r="J450" s="2">
        <v>26784</v>
      </c>
      <c r="K450" s="4" t="s">
        <v>90</v>
      </c>
      <c r="L450">
        <f t="shared" si="12"/>
        <v>0</v>
      </c>
      <c r="N450">
        <f t="shared" si="13"/>
        <v>1</v>
      </c>
    </row>
    <row r="451" spans="1:14" ht="25.5">
      <c r="A451">
        <v>450</v>
      </c>
      <c r="B451" s="2" t="s">
        <v>1186</v>
      </c>
      <c r="C451" s="2">
        <v>1949</v>
      </c>
      <c r="D451" s="2" t="s">
        <v>144</v>
      </c>
      <c r="E451" s="2" t="s">
        <v>93</v>
      </c>
      <c r="F451" s="2">
        <v>8</v>
      </c>
      <c r="G451" s="4" t="s">
        <v>90</v>
      </c>
      <c r="H451" s="2" t="s">
        <v>1187</v>
      </c>
      <c r="I451" s="2" t="s">
        <v>1188</v>
      </c>
      <c r="J451" s="2">
        <v>34485</v>
      </c>
      <c r="K451" s="4" t="s">
        <v>90</v>
      </c>
      <c r="L451">
        <f t="shared" ref="L451:L514" si="14">IF(AND(F451&gt;=8.2, G451&gt;8.2), 1, 0)</f>
        <v>0</v>
      </c>
      <c r="N451">
        <f t="shared" ref="N451:N514" si="15">IF(K451&gt;=50000000, 1, 0)</f>
        <v>1</v>
      </c>
    </row>
    <row r="452" spans="1:14" ht="25.5">
      <c r="A452">
        <v>451</v>
      </c>
      <c r="B452" s="2" t="s">
        <v>1189</v>
      </c>
      <c r="C452" s="2">
        <v>1948</v>
      </c>
      <c r="D452" s="2" t="s">
        <v>700</v>
      </c>
      <c r="E452" s="2" t="s">
        <v>22</v>
      </c>
      <c r="F452" s="2">
        <v>8</v>
      </c>
      <c r="G452" s="2">
        <v>73</v>
      </c>
      <c r="H452" s="2" t="s">
        <v>195</v>
      </c>
      <c r="I452" s="2" t="s">
        <v>138</v>
      </c>
      <c r="J452" s="2">
        <v>129783</v>
      </c>
      <c r="K452" s="4" t="s">
        <v>90</v>
      </c>
      <c r="L452">
        <f t="shared" si="14"/>
        <v>0</v>
      </c>
      <c r="N452">
        <f t="shared" si="15"/>
        <v>1</v>
      </c>
    </row>
    <row r="453" spans="1:14" ht="25.5">
      <c r="A453">
        <v>452</v>
      </c>
      <c r="B453" s="2" t="s">
        <v>1190</v>
      </c>
      <c r="C453" s="2">
        <v>1947</v>
      </c>
      <c r="D453" s="2" t="s">
        <v>1191</v>
      </c>
      <c r="E453" s="2" t="s">
        <v>22</v>
      </c>
      <c r="F453" s="2">
        <v>8</v>
      </c>
      <c r="G453" s="4" t="s">
        <v>90</v>
      </c>
      <c r="H453" s="2" t="s">
        <v>1192</v>
      </c>
      <c r="I453" s="2" t="s">
        <v>1176</v>
      </c>
      <c r="J453" s="2">
        <v>32784</v>
      </c>
      <c r="K453" s="4" t="s">
        <v>90</v>
      </c>
      <c r="L453">
        <f t="shared" si="14"/>
        <v>0</v>
      </c>
      <c r="N453">
        <f t="shared" si="15"/>
        <v>1</v>
      </c>
    </row>
    <row r="454" spans="1:14" ht="25.5">
      <c r="A454">
        <v>453</v>
      </c>
      <c r="B454" s="2" t="s">
        <v>1193</v>
      </c>
      <c r="C454" s="2">
        <v>1945</v>
      </c>
      <c r="D454" s="2" t="s">
        <v>519</v>
      </c>
      <c r="E454" s="2" t="s">
        <v>60</v>
      </c>
      <c r="F454" s="2">
        <v>8</v>
      </c>
      <c r="G454" s="2">
        <v>92</v>
      </c>
      <c r="H454" s="2" t="s">
        <v>378</v>
      </c>
      <c r="I454" s="2" t="s">
        <v>1194</v>
      </c>
      <c r="J454" s="2">
        <v>35601</v>
      </c>
      <c r="K454" s="4" t="s">
        <v>90</v>
      </c>
      <c r="L454">
        <f t="shared" si="14"/>
        <v>0</v>
      </c>
      <c r="N454">
        <f t="shared" si="15"/>
        <v>1</v>
      </c>
    </row>
    <row r="455" spans="1:14" ht="25.5">
      <c r="A455">
        <v>454</v>
      </c>
      <c r="B455" s="2" t="s">
        <v>1195</v>
      </c>
      <c r="C455" s="2">
        <v>1944</v>
      </c>
      <c r="D455" s="2" t="s">
        <v>174</v>
      </c>
      <c r="E455" s="2" t="s">
        <v>60</v>
      </c>
      <c r="F455" s="2">
        <v>8</v>
      </c>
      <c r="G455" s="4" t="s">
        <v>90</v>
      </c>
      <c r="H455" s="2" t="s">
        <v>1165</v>
      </c>
      <c r="I455" s="2" t="s">
        <v>1196</v>
      </c>
      <c r="J455" s="2">
        <v>42725</v>
      </c>
      <c r="K455" s="3">
        <v>4360000</v>
      </c>
      <c r="L455">
        <f t="shared" si="14"/>
        <v>0</v>
      </c>
      <c r="N455">
        <f t="shared" si="15"/>
        <v>0</v>
      </c>
    </row>
    <row r="456" spans="1:14" ht="23.25">
      <c r="A456">
        <v>455</v>
      </c>
      <c r="B456" s="2" t="s">
        <v>1197</v>
      </c>
      <c r="C456" s="2">
        <v>1946</v>
      </c>
      <c r="D456" s="2" t="s">
        <v>241</v>
      </c>
      <c r="E456" s="2" t="s">
        <v>60</v>
      </c>
      <c r="F456" s="2">
        <v>8</v>
      </c>
      <c r="G456" s="2">
        <v>93</v>
      </c>
      <c r="H456" s="2" t="s">
        <v>844</v>
      </c>
      <c r="I456" s="2" t="s">
        <v>1198</v>
      </c>
      <c r="J456" s="2">
        <v>57259</v>
      </c>
      <c r="K456" s="3">
        <v>23650000</v>
      </c>
      <c r="L456">
        <f t="shared" si="14"/>
        <v>0</v>
      </c>
      <c r="N456">
        <f t="shared" si="15"/>
        <v>0</v>
      </c>
    </row>
    <row r="457" spans="1:14" ht="25.5">
      <c r="A457">
        <v>456</v>
      </c>
      <c r="B457" s="2" t="s">
        <v>1199</v>
      </c>
      <c r="C457" s="2">
        <v>1942</v>
      </c>
      <c r="D457" s="2" t="s">
        <v>123</v>
      </c>
      <c r="E457" s="2" t="s">
        <v>93</v>
      </c>
      <c r="F457" s="2">
        <v>8</v>
      </c>
      <c r="G457" s="4" t="s">
        <v>90</v>
      </c>
      <c r="H457" s="2" t="s">
        <v>137</v>
      </c>
      <c r="I457" s="2" t="s">
        <v>383</v>
      </c>
      <c r="J457" s="2">
        <v>65101</v>
      </c>
      <c r="K457" s="4" t="s">
        <v>90</v>
      </c>
      <c r="L457">
        <f t="shared" si="14"/>
        <v>0</v>
      </c>
      <c r="N457">
        <f t="shared" si="15"/>
        <v>1</v>
      </c>
    </row>
    <row r="458" spans="1:14" ht="23.25">
      <c r="A458">
        <v>457</v>
      </c>
      <c r="B458" s="2" t="s">
        <v>1200</v>
      </c>
      <c r="C458" s="2">
        <v>1941</v>
      </c>
      <c r="D458" s="2" t="s">
        <v>614</v>
      </c>
      <c r="E458" s="2" t="s">
        <v>862</v>
      </c>
      <c r="F458" s="2">
        <v>8</v>
      </c>
      <c r="G458" s="2">
        <v>96</v>
      </c>
      <c r="H458" s="2" t="s">
        <v>575</v>
      </c>
      <c r="I458" s="2" t="s">
        <v>200</v>
      </c>
      <c r="J458" s="2">
        <v>148928</v>
      </c>
      <c r="K458" s="3">
        <v>2108060</v>
      </c>
      <c r="L458">
        <f t="shared" si="14"/>
        <v>0</v>
      </c>
      <c r="N458">
        <f t="shared" si="15"/>
        <v>0</v>
      </c>
    </row>
    <row r="459" spans="1:14" ht="23.25">
      <c r="A459">
        <v>458</v>
      </c>
      <c r="B459" s="2" t="s">
        <v>1201</v>
      </c>
      <c r="C459" s="2">
        <v>1940</v>
      </c>
      <c r="D459" s="2" t="s">
        <v>368</v>
      </c>
      <c r="E459" s="2" t="s">
        <v>60</v>
      </c>
      <c r="F459" s="2">
        <v>8</v>
      </c>
      <c r="G459" s="2">
        <v>96</v>
      </c>
      <c r="H459" s="2" t="s">
        <v>834</v>
      </c>
      <c r="I459" s="2" t="s">
        <v>36</v>
      </c>
      <c r="J459" s="2">
        <v>85559</v>
      </c>
      <c r="K459" s="3">
        <v>55000</v>
      </c>
      <c r="L459">
        <f t="shared" si="14"/>
        <v>0</v>
      </c>
      <c r="N459">
        <f t="shared" si="15"/>
        <v>0</v>
      </c>
    </row>
    <row r="460" spans="1:14" ht="23.25">
      <c r="A460">
        <v>459</v>
      </c>
      <c r="B460" s="2" t="s">
        <v>1202</v>
      </c>
      <c r="C460" s="2">
        <v>1939</v>
      </c>
      <c r="D460" s="2" t="s">
        <v>198</v>
      </c>
      <c r="E460" s="2" t="s">
        <v>102</v>
      </c>
      <c r="F460" s="2">
        <v>8</v>
      </c>
      <c r="G460" s="2">
        <v>92</v>
      </c>
      <c r="H460" s="2" t="s">
        <v>874</v>
      </c>
      <c r="I460" s="2" t="s">
        <v>875</v>
      </c>
      <c r="J460" s="2">
        <v>371379</v>
      </c>
      <c r="K460" s="3">
        <v>2076020</v>
      </c>
      <c r="L460">
        <f t="shared" si="14"/>
        <v>0</v>
      </c>
      <c r="N460">
        <f t="shared" si="15"/>
        <v>0</v>
      </c>
    </row>
    <row r="461" spans="1:14" ht="25.5">
      <c r="A461">
        <v>460</v>
      </c>
      <c r="B461" s="2" t="s">
        <v>1203</v>
      </c>
      <c r="C461" s="2">
        <v>1939</v>
      </c>
      <c r="D461" s="2" t="s">
        <v>170</v>
      </c>
      <c r="E461" s="2" t="s">
        <v>93</v>
      </c>
      <c r="F461" s="2">
        <v>8</v>
      </c>
      <c r="G461" s="4" t="s">
        <v>90</v>
      </c>
      <c r="H461" s="2" t="s">
        <v>877</v>
      </c>
      <c r="I461" s="2" t="s">
        <v>1204</v>
      </c>
      <c r="J461" s="2">
        <v>26725</v>
      </c>
      <c r="K461" s="4" t="s">
        <v>90</v>
      </c>
      <c r="L461">
        <f t="shared" si="14"/>
        <v>0</v>
      </c>
      <c r="N461">
        <f t="shared" si="15"/>
        <v>1</v>
      </c>
    </row>
    <row r="462" spans="1:14" ht="25.5">
      <c r="A462">
        <v>461</v>
      </c>
      <c r="B462" s="2" t="s">
        <v>1205</v>
      </c>
      <c r="C462" s="2">
        <v>1934</v>
      </c>
      <c r="D462" s="2" t="s">
        <v>542</v>
      </c>
      <c r="E462" s="2" t="s">
        <v>93</v>
      </c>
      <c r="F462" s="2">
        <v>8</v>
      </c>
      <c r="G462" s="2">
        <v>86</v>
      </c>
      <c r="H462" s="2" t="s">
        <v>1206</v>
      </c>
      <c r="I462" s="2" t="s">
        <v>1207</v>
      </c>
      <c r="J462" s="2">
        <v>26642</v>
      </c>
      <c r="K462" s="4" t="s">
        <v>90</v>
      </c>
      <c r="L462">
        <f t="shared" si="14"/>
        <v>0</v>
      </c>
      <c r="N462">
        <f t="shared" si="15"/>
        <v>1</v>
      </c>
    </row>
    <row r="463" spans="1:14" ht="23.25">
      <c r="A463">
        <v>462</v>
      </c>
      <c r="B463" s="2" t="s">
        <v>1208</v>
      </c>
      <c r="C463" s="2">
        <v>1930</v>
      </c>
      <c r="D463" s="2" t="s">
        <v>26</v>
      </c>
      <c r="E463" s="2" t="s">
        <v>60</v>
      </c>
      <c r="F463" s="2">
        <v>8</v>
      </c>
      <c r="G463" s="2">
        <v>91</v>
      </c>
      <c r="H463" s="2" t="s">
        <v>1209</v>
      </c>
      <c r="I463" s="2" t="s">
        <v>1210</v>
      </c>
      <c r="J463" s="2">
        <v>57318</v>
      </c>
      <c r="K463" s="3">
        <v>3270000</v>
      </c>
      <c r="L463">
        <f t="shared" si="14"/>
        <v>0</v>
      </c>
      <c r="N463">
        <f t="shared" si="15"/>
        <v>0</v>
      </c>
    </row>
    <row r="464" spans="1:14" ht="23.25">
      <c r="A464">
        <v>463</v>
      </c>
      <c r="B464" s="2" t="s">
        <v>1211</v>
      </c>
      <c r="C464" s="2">
        <v>1925</v>
      </c>
      <c r="D464" s="2" t="s">
        <v>1212</v>
      </c>
      <c r="E464" s="2" t="s">
        <v>60</v>
      </c>
      <c r="F464" s="2">
        <v>8</v>
      </c>
      <c r="G464" s="2">
        <v>97</v>
      </c>
      <c r="H464" s="2" t="s">
        <v>1213</v>
      </c>
      <c r="I464" s="2" t="s">
        <v>1214</v>
      </c>
      <c r="J464" s="2">
        <v>53054</v>
      </c>
      <c r="K464" s="3">
        <v>50970</v>
      </c>
      <c r="L464">
        <f t="shared" si="14"/>
        <v>0</v>
      </c>
      <c r="N464">
        <f t="shared" si="15"/>
        <v>0</v>
      </c>
    </row>
    <row r="465" spans="1:14" ht="23.25">
      <c r="A465">
        <v>464</v>
      </c>
      <c r="B465" s="2" t="s">
        <v>1215</v>
      </c>
      <c r="C465" s="2">
        <v>2019</v>
      </c>
      <c r="D465" s="2" t="s">
        <v>105</v>
      </c>
      <c r="E465" s="2" t="s">
        <v>93</v>
      </c>
      <c r="F465" s="2">
        <v>7.9</v>
      </c>
      <c r="G465" s="2">
        <v>82</v>
      </c>
      <c r="H465" s="2" t="s">
        <v>1216</v>
      </c>
      <c r="I465" s="2" t="s">
        <v>1005</v>
      </c>
      <c r="J465" s="2">
        <v>454203</v>
      </c>
      <c r="K465" s="3">
        <v>165359751</v>
      </c>
      <c r="L465">
        <f t="shared" si="14"/>
        <v>0</v>
      </c>
      <c r="N465">
        <f t="shared" si="15"/>
        <v>1</v>
      </c>
    </row>
    <row r="466" spans="1:14" ht="35.25">
      <c r="A466">
        <v>465</v>
      </c>
      <c r="B466" s="2" t="s">
        <v>1217</v>
      </c>
      <c r="C466" s="2">
        <v>2020</v>
      </c>
      <c r="D466" s="2" t="s">
        <v>253</v>
      </c>
      <c r="E466" s="2" t="s">
        <v>93</v>
      </c>
      <c r="F466" s="2">
        <v>7.9</v>
      </c>
      <c r="G466" s="4" t="s">
        <v>90</v>
      </c>
      <c r="H466" s="2" t="s">
        <v>1218</v>
      </c>
      <c r="I466" s="2" t="s">
        <v>408</v>
      </c>
      <c r="J466" s="2">
        <v>111478</v>
      </c>
      <c r="K466" s="4" t="s">
        <v>90</v>
      </c>
      <c r="L466">
        <f t="shared" si="14"/>
        <v>0</v>
      </c>
      <c r="N466">
        <f t="shared" si="15"/>
        <v>1</v>
      </c>
    </row>
    <row r="467" spans="1:14" ht="23.25">
      <c r="A467">
        <v>466</v>
      </c>
      <c r="B467" s="2" t="s">
        <v>1219</v>
      </c>
      <c r="C467" s="2">
        <v>2018</v>
      </c>
      <c r="D467" s="2" t="s">
        <v>127</v>
      </c>
      <c r="E467" s="2" t="s">
        <v>22</v>
      </c>
      <c r="F467" s="2">
        <v>7.9</v>
      </c>
      <c r="G467" s="2">
        <v>93</v>
      </c>
      <c r="H467" s="2" t="s">
        <v>1220</v>
      </c>
      <c r="I467" s="2" t="s">
        <v>1221</v>
      </c>
      <c r="J467" s="2">
        <v>62754</v>
      </c>
      <c r="K467" s="3">
        <v>3313513</v>
      </c>
      <c r="L467">
        <f t="shared" si="14"/>
        <v>0</v>
      </c>
      <c r="N467">
        <f t="shared" si="15"/>
        <v>0</v>
      </c>
    </row>
    <row r="468" spans="1:14" ht="23.25">
      <c r="A468">
        <v>467</v>
      </c>
      <c r="B468" s="2" t="s">
        <v>1222</v>
      </c>
      <c r="C468" s="2">
        <v>2019</v>
      </c>
      <c r="D468" s="2" t="s">
        <v>178</v>
      </c>
      <c r="E468" s="2" t="s">
        <v>93</v>
      </c>
      <c r="F468" s="2">
        <v>7.9</v>
      </c>
      <c r="G468" s="2">
        <v>94</v>
      </c>
      <c r="H468" s="2" t="s">
        <v>1223</v>
      </c>
      <c r="I468" s="2" t="s">
        <v>1224</v>
      </c>
      <c r="J468" s="2">
        <v>246644</v>
      </c>
      <c r="K468" s="3">
        <v>2000000</v>
      </c>
      <c r="L468">
        <f t="shared" si="14"/>
        <v>0</v>
      </c>
      <c r="N468">
        <f t="shared" si="15"/>
        <v>0</v>
      </c>
    </row>
    <row r="469" spans="1:14" ht="35.25">
      <c r="A469">
        <v>468</v>
      </c>
      <c r="B469" s="2" t="s">
        <v>1225</v>
      </c>
      <c r="C469" s="2">
        <v>2017</v>
      </c>
      <c r="D469" s="2" t="s">
        <v>92</v>
      </c>
      <c r="E469" s="2" t="s">
        <v>60</v>
      </c>
      <c r="F469" s="2">
        <v>7.9</v>
      </c>
      <c r="G469" s="2">
        <v>93</v>
      </c>
      <c r="H469" s="2" t="s">
        <v>1226</v>
      </c>
      <c r="I469" s="2" t="s">
        <v>1227</v>
      </c>
      <c r="J469" s="2">
        <v>212651</v>
      </c>
      <c r="K469" s="3">
        <v>18095701</v>
      </c>
      <c r="L469">
        <f t="shared" si="14"/>
        <v>0</v>
      </c>
      <c r="N469">
        <f t="shared" si="15"/>
        <v>0</v>
      </c>
    </row>
    <row r="470" spans="1:14" ht="23.25">
      <c r="A470">
        <v>469</v>
      </c>
      <c r="B470" s="2" t="s">
        <v>1228</v>
      </c>
      <c r="C470" s="2">
        <v>2016</v>
      </c>
      <c r="D470" s="2" t="s">
        <v>614</v>
      </c>
      <c r="E470" s="2" t="s">
        <v>17</v>
      </c>
      <c r="F470" s="2">
        <v>7.9</v>
      </c>
      <c r="G470" s="2">
        <v>78</v>
      </c>
      <c r="H470" s="2" t="s">
        <v>1229</v>
      </c>
      <c r="I470" s="2" t="s">
        <v>996</v>
      </c>
      <c r="J470" s="2">
        <v>53818</v>
      </c>
      <c r="K470" s="3">
        <v>258168</v>
      </c>
      <c r="L470">
        <f t="shared" si="14"/>
        <v>0</v>
      </c>
      <c r="N470">
        <f t="shared" si="15"/>
        <v>0</v>
      </c>
    </row>
    <row r="471" spans="1:14" ht="23.25">
      <c r="A471">
        <v>470</v>
      </c>
      <c r="B471" s="2" t="s">
        <v>1230</v>
      </c>
      <c r="C471" s="2">
        <v>2018</v>
      </c>
      <c r="D471" s="2" t="s">
        <v>253</v>
      </c>
      <c r="E471" s="2" t="s">
        <v>110</v>
      </c>
      <c r="F471" s="2">
        <v>7.9</v>
      </c>
      <c r="G471" s="2">
        <v>82</v>
      </c>
      <c r="H471" s="2" t="s">
        <v>625</v>
      </c>
      <c r="I471" s="2" t="s">
        <v>1231</v>
      </c>
      <c r="J471" s="2">
        <v>139114</v>
      </c>
      <c r="K471" s="3">
        <v>32015231</v>
      </c>
      <c r="L471">
        <f t="shared" si="14"/>
        <v>0</v>
      </c>
      <c r="N471">
        <f t="shared" si="15"/>
        <v>0</v>
      </c>
    </row>
    <row r="472" spans="1:14" ht="23.25">
      <c r="A472">
        <v>471</v>
      </c>
      <c r="B472" s="2" t="s">
        <v>1232</v>
      </c>
      <c r="C472" s="2">
        <v>2016</v>
      </c>
      <c r="D472" s="2" t="s">
        <v>253</v>
      </c>
      <c r="E472" s="2" t="s">
        <v>102</v>
      </c>
      <c r="F472" s="2">
        <v>7.9</v>
      </c>
      <c r="G472" s="2">
        <v>81</v>
      </c>
      <c r="H472" s="2" t="s">
        <v>1233</v>
      </c>
      <c r="I472" s="2" t="s">
        <v>753</v>
      </c>
      <c r="J472" s="2">
        <v>111483</v>
      </c>
      <c r="K472" s="3">
        <v>5202582</v>
      </c>
      <c r="L472">
        <f t="shared" si="14"/>
        <v>0</v>
      </c>
      <c r="N472">
        <f t="shared" si="15"/>
        <v>0</v>
      </c>
    </row>
    <row r="473" spans="1:14" ht="23.25">
      <c r="A473">
        <v>472</v>
      </c>
      <c r="B473" s="2" t="s">
        <v>1234</v>
      </c>
      <c r="C473" s="2">
        <v>2016</v>
      </c>
      <c r="D473" s="2" t="s">
        <v>123</v>
      </c>
      <c r="E473" s="2" t="s">
        <v>93</v>
      </c>
      <c r="F473" s="2">
        <v>7.9</v>
      </c>
      <c r="G473" s="2">
        <v>72</v>
      </c>
      <c r="H473" s="2" t="s">
        <v>1235</v>
      </c>
      <c r="I473" s="2" t="s">
        <v>419</v>
      </c>
      <c r="J473" s="2">
        <v>189400</v>
      </c>
      <c r="K473" s="3">
        <v>5875006</v>
      </c>
      <c r="L473">
        <f t="shared" si="14"/>
        <v>0</v>
      </c>
      <c r="N473">
        <f t="shared" si="15"/>
        <v>0</v>
      </c>
    </row>
    <row r="474" spans="1:14" ht="35.25">
      <c r="A474">
        <v>473</v>
      </c>
      <c r="B474" s="2" t="s">
        <v>1236</v>
      </c>
      <c r="C474" s="2">
        <v>2016</v>
      </c>
      <c r="D474" s="2" t="s">
        <v>144</v>
      </c>
      <c r="E474" s="2" t="s">
        <v>93</v>
      </c>
      <c r="F474" s="2">
        <v>7.9</v>
      </c>
      <c r="G474" s="2">
        <v>79</v>
      </c>
      <c r="H474" s="2" t="s">
        <v>1237</v>
      </c>
      <c r="I474" s="2" t="s">
        <v>1238</v>
      </c>
      <c r="J474" s="2">
        <v>85109</v>
      </c>
      <c r="K474" s="3">
        <v>3237118</v>
      </c>
      <c r="L474">
        <f t="shared" si="14"/>
        <v>0</v>
      </c>
      <c r="N474">
        <f t="shared" si="15"/>
        <v>0</v>
      </c>
    </row>
    <row r="475" spans="1:14" ht="23.25">
      <c r="A475">
        <v>474</v>
      </c>
      <c r="B475" s="2" t="s">
        <v>1239</v>
      </c>
      <c r="C475" s="2">
        <v>2017</v>
      </c>
      <c r="D475" s="2" t="s">
        <v>105</v>
      </c>
      <c r="E475" s="2" t="s">
        <v>27</v>
      </c>
      <c r="F475" s="2">
        <v>7.9</v>
      </c>
      <c r="G475" s="2">
        <v>74</v>
      </c>
      <c r="H475" s="2" t="s">
        <v>1233</v>
      </c>
      <c r="I475" s="2" t="s">
        <v>1240</v>
      </c>
      <c r="J475" s="2">
        <v>587775</v>
      </c>
      <c r="K475" s="3">
        <v>315058289</v>
      </c>
      <c r="L475">
        <f t="shared" si="14"/>
        <v>0</v>
      </c>
      <c r="N475">
        <f t="shared" si="15"/>
        <v>1</v>
      </c>
    </row>
    <row r="476" spans="1:14" ht="23.25">
      <c r="A476">
        <v>475</v>
      </c>
      <c r="B476" s="2" t="s">
        <v>1241</v>
      </c>
      <c r="C476" s="2">
        <v>2014</v>
      </c>
      <c r="D476" s="2" t="s">
        <v>223</v>
      </c>
      <c r="E476" s="2" t="s">
        <v>22</v>
      </c>
      <c r="F476" s="2">
        <v>7.9</v>
      </c>
      <c r="G476" s="2">
        <v>76</v>
      </c>
      <c r="H476" s="2" t="s">
        <v>1242</v>
      </c>
      <c r="I476" s="2" t="s">
        <v>1038</v>
      </c>
      <c r="J476" s="2">
        <v>466134</v>
      </c>
      <c r="K476" s="3">
        <v>32381218</v>
      </c>
      <c r="L476">
        <f t="shared" si="14"/>
        <v>0</v>
      </c>
      <c r="N476">
        <f t="shared" si="15"/>
        <v>0</v>
      </c>
    </row>
    <row r="477" spans="1:14" ht="23.25">
      <c r="A477">
        <v>476</v>
      </c>
      <c r="B477" s="2" t="s">
        <v>1243</v>
      </c>
      <c r="C477" s="2">
        <v>2019</v>
      </c>
      <c r="D477" s="2" t="s">
        <v>323</v>
      </c>
      <c r="E477" s="2" t="s">
        <v>93</v>
      </c>
      <c r="F477" s="2">
        <v>7.9</v>
      </c>
      <c r="G477" s="2">
        <v>58</v>
      </c>
      <c r="H477" s="2" t="s">
        <v>1233</v>
      </c>
      <c r="I477" s="2" t="s">
        <v>1244</v>
      </c>
      <c r="J477" s="2">
        <v>297918</v>
      </c>
      <c r="K477" s="3">
        <v>349555</v>
      </c>
      <c r="L477">
        <f t="shared" si="14"/>
        <v>0</v>
      </c>
      <c r="N477">
        <f t="shared" si="15"/>
        <v>0</v>
      </c>
    </row>
    <row r="478" spans="1:14" ht="23.25">
      <c r="A478">
        <v>477</v>
      </c>
      <c r="B478" s="2" t="s">
        <v>1245</v>
      </c>
      <c r="C478" s="2">
        <v>2016</v>
      </c>
      <c r="D478" s="2" t="s">
        <v>117</v>
      </c>
      <c r="E478" s="2" t="s">
        <v>60</v>
      </c>
      <c r="F478" s="2">
        <v>7.9</v>
      </c>
      <c r="G478" s="2">
        <v>81</v>
      </c>
      <c r="H478" s="2" t="s">
        <v>313</v>
      </c>
      <c r="I478" s="2" t="s">
        <v>1246</v>
      </c>
      <c r="J478" s="2">
        <v>594181</v>
      </c>
      <c r="K478" s="3">
        <v>100546139</v>
      </c>
      <c r="L478">
        <f t="shared" si="14"/>
        <v>0</v>
      </c>
      <c r="N478">
        <f t="shared" si="15"/>
        <v>1</v>
      </c>
    </row>
    <row r="479" spans="1:14" ht="47.25">
      <c r="A479">
        <v>478</v>
      </c>
      <c r="B479" s="2" t="s">
        <v>1247</v>
      </c>
      <c r="C479" s="2">
        <v>2015</v>
      </c>
      <c r="D479" s="2" t="s">
        <v>410</v>
      </c>
      <c r="E479" s="2" t="s">
        <v>27</v>
      </c>
      <c r="F479" s="2">
        <v>7.9</v>
      </c>
      <c r="G479" s="2">
        <v>80</v>
      </c>
      <c r="H479" s="2" t="s">
        <v>1248</v>
      </c>
      <c r="I479" s="2" t="s">
        <v>1249</v>
      </c>
      <c r="J479" s="2">
        <v>860823</v>
      </c>
      <c r="K479" s="3">
        <v>936662225</v>
      </c>
      <c r="L479">
        <f t="shared" si="14"/>
        <v>0</v>
      </c>
      <c r="N479">
        <f t="shared" si="15"/>
        <v>1</v>
      </c>
    </row>
    <row r="480" spans="1:14" ht="23.25">
      <c r="A480">
        <v>479</v>
      </c>
      <c r="B480" s="2" t="s">
        <v>1250</v>
      </c>
      <c r="C480" s="2">
        <v>2013</v>
      </c>
      <c r="D480" s="2" t="s">
        <v>193</v>
      </c>
      <c r="E480" s="2" t="s">
        <v>60</v>
      </c>
      <c r="F480" s="2">
        <v>7.9</v>
      </c>
      <c r="G480" s="2">
        <v>94</v>
      </c>
      <c r="H480" s="2" t="s">
        <v>701</v>
      </c>
      <c r="I480" s="2" t="s">
        <v>702</v>
      </c>
      <c r="J480" s="2">
        <v>141457</v>
      </c>
      <c r="K480" s="3">
        <v>8114627</v>
      </c>
      <c r="L480">
        <f t="shared" si="14"/>
        <v>0</v>
      </c>
      <c r="N480">
        <f t="shared" si="15"/>
        <v>0</v>
      </c>
    </row>
    <row r="481" spans="1:14" ht="23.25">
      <c r="A481">
        <v>480</v>
      </c>
      <c r="B481" s="2" t="s">
        <v>1251</v>
      </c>
      <c r="C481" s="2">
        <v>2014</v>
      </c>
      <c r="D481" s="2" t="s">
        <v>92</v>
      </c>
      <c r="E481" s="2" t="s">
        <v>27</v>
      </c>
      <c r="F481" s="2">
        <v>7.9</v>
      </c>
      <c r="G481" s="2">
        <v>75</v>
      </c>
      <c r="H481" s="2" t="s">
        <v>167</v>
      </c>
      <c r="I481" s="2" t="s">
        <v>1252</v>
      </c>
      <c r="J481" s="2">
        <v>659763</v>
      </c>
      <c r="K481" s="3">
        <v>233921534</v>
      </c>
      <c r="L481">
        <f t="shared" si="14"/>
        <v>0</v>
      </c>
      <c r="N481">
        <f t="shared" si="15"/>
        <v>1</v>
      </c>
    </row>
    <row r="482" spans="1:14" ht="23.25">
      <c r="A482">
        <v>481</v>
      </c>
      <c r="B482" s="2" t="s">
        <v>1253</v>
      </c>
      <c r="C482" s="2">
        <v>2011</v>
      </c>
      <c r="D482" s="2" t="s">
        <v>1254</v>
      </c>
      <c r="E482" s="2" t="s">
        <v>22</v>
      </c>
      <c r="F482" s="2">
        <v>7.9</v>
      </c>
      <c r="G482" s="2">
        <v>82</v>
      </c>
      <c r="H482" s="2" t="s">
        <v>618</v>
      </c>
      <c r="I482" s="2" t="s">
        <v>1255</v>
      </c>
      <c r="J482" s="2">
        <v>41995</v>
      </c>
      <c r="K482" s="3">
        <v>138730</v>
      </c>
      <c r="L482">
        <f t="shared" si="14"/>
        <v>0</v>
      </c>
      <c r="N482">
        <f t="shared" si="15"/>
        <v>0</v>
      </c>
    </row>
    <row r="483" spans="1:14" ht="35.25">
      <c r="A483">
        <v>482</v>
      </c>
      <c r="B483" s="2" t="s">
        <v>1256</v>
      </c>
      <c r="C483" s="2">
        <v>2011</v>
      </c>
      <c r="D483" s="2" t="s">
        <v>614</v>
      </c>
      <c r="E483" s="2" t="s">
        <v>93</v>
      </c>
      <c r="F483" s="2">
        <v>7.9</v>
      </c>
      <c r="G483" s="2">
        <v>89</v>
      </c>
      <c r="H483" s="2" t="s">
        <v>1257</v>
      </c>
      <c r="I483" s="2" t="s">
        <v>1258</v>
      </c>
      <c r="J483" s="2">
        <v>230624</v>
      </c>
      <c r="K483" s="3">
        <v>44671682</v>
      </c>
      <c r="L483">
        <f t="shared" si="14"/>
        <v>0</v>
      </c>
      <c r="N483">
        <f t="shared" si="15"/>
        <v>0</v>
      </c>
    </row>
    <row r="484" spans="1:14" ht="23.25">
      <c r="A484">
        <v>483</v>
      </c>
      <c r="B484" s="2" t="s">
        <v>1259</v>
      </c>
      <c r="C484" s="2">
        <v>2014</v>
      </c>
      <c r="D484" s="2" t="s">
        <v>257</v>
      </c>
      <c r="E484" s="2" t="s">
        <v>27</v>
      </c>
      <c r="F484" s="2">
        <v>7.9</v>
      </c>
      <c r="G484" s="2">
        <v>71</v>
      </c>
      <c r="H484" s="2" t="s">
        <v>1260</v>
      </c>
      <c r="I484" s="2" t="s">
        <v>1040</v>
      </c>
      <c r="J484" s="2">
        <v>600004</v>
      </c>
      <c r="K484" s="3">
        <v>100206256</v>
      </c>
      <c r="L484">
        <f t="shared" si="14"/>
        <v>0</v>
      </c>
      <c r="N484">
        <f t="shared" si="15"/>
        <v>1</v>
      </c>
    </row>
    <row r="485" spans="1:14" ht="23.25">
      <c r="A485">
        <v>484</v>
      </c>
      <c r="B485" s="2" t="s">
        <v>1261</v>
      </c>
      <c r="C485" s="2">
        <v>2012</v>
      </c>
      <c r="D485" s="2" t="s">
        <v>120</v>
      </c>
      <c r="E485" s="2" t="s">
        <v>60</v>
      </c>
      <c r="F485" s="2">
        <v>7.9</v>
      </c>
      <c r="G485" s="2">
        <v>94</v>
      </c>
      <c r="H485" s="2" t="s">
        <v>1262</v>
      </c>
      <c r="I485" s="2" t="s">
        <v>1136</v>
      </c>
      <c r="J485" s="2">
        <v>93090</v>
      </c>
      <c r="K485" s="3">
        <v>6739492</v>
      </c>
      <c r="L485">
        <f t="shared" si="14"/>
        <v>0</v>
      </c>
      <c r="N485">
        <f t="shared" si="15"/>
        <v>0</v>
      </c>
    </row>
    <row r="486" spans="1:14" ht="23.25">
      <c r="A486">
        <v>485</v>
      </c>
      <c r="B486" s="2" t="s">
        <v>1263</v>
      </c>
      <c r="C486" s="2">
        <v>2019</v>
      </c>
      <c r="D486" s="2" t="s">
        <v>1264</v>
      </c>
      <c r="E486" s="2" t="s">
        <v>47</v>
      </c>
      <c r="F486" s="2">
        <v>7.9</v>
      </c>
      <c r="G486" s="2">
        <v>94</v>
      </c>
      <c r="H486" s="2" t="s">
        <v>76</v>
      </c>
      <c r="I486" s="2" t="s">
        <v>77</v>
      </c>
      <c r="J486" s="2">
        <v>324720</v>
      </c>
      <c r="K486" s="3">
        <v>7000000</v>
      </c>
      <c r="L486">
        <f t="shared" si="14"/>
        <v>0</v>
      </c>
      <c r="N486">
        <f t="shared" si="15"/>
        <v>0</v>
      </c>
    </row>
    <row r="487" spans="1:14" ht="23.25">
      <c r="A487">
        <v>486</v>
      </c>
      <c r="B487" s="2" t="s">
        <v>1265</v>
      </c>
      <c r="C487" s="2">
        <v>2009</v>
      </c>
      <c r="D487" s="2" t="s">
        <v>159</v>
      </c>
      <c r="E487" s="2" t="s">
        <v>22</v>
      </c>
      <c r="F487" s="2">
        <v>7.9</v>
      </c>
      <c r="G487" s="2">
        <v>90</v>
      </c>
      <c r="H487" s="2" t="s">
        <v>1266</v>
      </c>
      <c r="I487" s="2" t="s">
        <v>1267</v>
      </c>
      <c r="J487" s="2">
        <v>93560</v>
      </c>
      <c r="K487" s="3">
        <v>2084637</v>
      </c>
      <c r="L487">
        <f t="shared" si="14"/>
        <v>0</v>
      </c>
      <c r="N487">
        <f t="shared" si="15"/>
        <v>0</v>
      </c>
    </row>
    <row r="488" spans="1:14" ht="23.25">
      <c r="A488">
        <v>487</v>
      </c>
      <c r="B488" s="2" t="s">
        <v>1268</v>
      </c>
      <c r="C488" s="2">
        <v>2009</v>
      </c>
      <c r="D488" s="2" t="s">
        <v>1191</v>
      </c>
      <c r="E488" s="2" t="s">
        <v>60</v>
      </c>
      <c r="F488" s="2">
        <v>7.9</v>
      </c>
      <c r="G488" s="2">
        <v>67</v>
      </c>
      <c r="H488" s="2" t="s">
        <v>1269</v>
      </c>
      <c r="I488" s="2" t="s">
        <v>1270</v>
      </c>
      <c r="J488" s="2">
        <v>335152</v>
      </c>
      <c r="K488" s="3">
        <v>5009677</v>
      </c>
      <c r="L488">
        <f t="shared" si="14"/>
        <v>0</v>
      </c>
      <c r="N488">
        <f t="shared" si="15"/>
        <v>0</v>
      </c>
    </row>
    <row r="489" spans="1:14" ht="23.25">
      <c r="A489">
        <v>488</v>
      </c>
      <c r="B489" s="2" t="s">
        <v>1271</v>
      </c>
      <c r="C489" s="2">
        <v>2008</v>
      </c>
      <c r="D489" s="2" t="s">
        <v>366</v>
      </c>
      <c r="E489" s="2" t="s">
        <v>22</v>
      </c>
      <c r="F489" s="2">
        <v>7.9</v>
      </c>
      <c r="G489" s="2">
        <v>82</v>
      </c>
      <c r="H489" s="2" t="s">
        <v>1272</v>
      </c>
      <c r="I489" s="2" t="s">
        <v>1273</v>
      </c>
      <c r="J489" s="2">
        <v>205609</v>
      </c>
      <c r="K489" s="3">
        <v>2122065</v>
      </c>
      <c r="L489">
        <f t="shared" si="14"/>
        <v>0</v>
      </c>
      <c r="N489">
        <f t="shared" si="15"/>
        <v>0</v>
      </c>
    </row>
    <row r="490" spans="1:14" ht="23.25">
      <c r="A490">
        <v>489</v>
      </c>
      <c r="B490" s="2" t="s">
        <v>1274</v>
      </c>
      <c r="C490" s="2">
        <v>2009</v>
      </c>
      <c r="D490" s="2" t="s">
        <v>148</v>
      </c>
      <c r="E490" s="2" t="s">
        <v>27</v>
      </c>
      <c r="F490" s="2">
        <v>7.9</v>
      </c>
      <c r="G490" s="2">
        <v>81</v>
      </c>
      <c r="H490" s="2" t="s">
        <v>1275</v>
      </c>
      <c r="I490" s="2" t="s">
        <v>1276</v>
      </c>
      <c r="J490" s="2">
        <v>638202</v>
      </c>
      <c r="K490" s="3">
        <v>115646235</v>
      </c>
      <c r="L490">
        <f t="shared" si="14"/>
        <v>0</v>
      </c>
      <c r="N490">
        <f t="shared" si="15"/>
        <v>1</v>
      </c>
    </row>
    <row r="491" spans="1:14" ht="23.25">
      <c r="A491">
        <v>490</v>
      </c>
      <c r="B491" s="2" t="s">
        <v>1277</v>
      </c>
      <c r="C491" s="2">
        <v>2008</v>
      </c>
      <c r="D491" s="2" t="s">
        <v>193</v>
      </c>
      <c r="E491" s="2" t="s">
        <v>60</v>
      </c>
      <c r="F491" s="2">
        <v>7.9</v>
      </c>
      <c r="G491" s="2">
        <v>80</v>
      </c>
      <c r="H491" s="2" t="s">
        <v>333</v>
      </c>
      <c r="I491" s="2" t="s">
        <v>1278</v>
      </c>
      <c r="J491" s="2">
        <v>289415</v>
      </c>
      <c r="K491" s="3">
        <v>26236603</v>
      </c>
      <c r="L491">
        <f t="shared" si="14"/>
        <v>0</v>
      </c>
      <c r="N491">
        <f t="shared" si="15"/>
        <v>0</v>
      </c>
    </row>
    <row r="492" spans="1:14" ht="25.5">
      <c r="A492">
        <v>491</v>
      </c>
      <c r="B492" s="2" t="s">
        <v>1279</v>
      </c>
      <c r="C492" s="2">
        <v>2007</v>
      </c>
      <c r="D492" s="2" t="s">
        <v>410</v>
      </c>
      <c r="E492" s="2" t="s">
        <v>93</v>
      </c>
      <c r="F492" s="2">
        <v>7.9</v>
      </c>
      <c r="G492" s="4" t="s">
        <v>90</v>
      </c>
      <c r="H492" s="2" t="s">
        <v>1280</v>
      </c>
      <c r="I492" s="2" t="s">
        <v>603</v>
      </c>
      <c r="J492" s="2">
        <v>47720</v>
      </c>
      <c r="K492" s="3">
        <v>410800</v>
      </c>
      <c r="L492">
        <f t="shared" si="14"/>
        <v>0</v>
      </c>
      <c r="N492">
        <f t="shared" si="15"/>
        <v>0</v>
      </c>
    </row>
    <row r="493" spans="1:14" ht="23.25">
      <c r="A493">
        <v>492</v>
      </c>
      <c r="B493" s="2" t="s">
        <v>1281</v>
      </c>
      <c r="C493" s="2">
        <v>2014</v>
      </c>
      <c r="D493" s="2" t="s">
        <v>191</v>
      </c>
      <c r="E493" s="2" t="s">
        <v>17</v>
      </c>
      <c r="F493" s="2">
        <v>7.9</v>
      </c>
      <c r="G493" s="2">
        <v>100</v>
      </c>
      <c r="H493" s="2" t="s">
        <v>701</v>
      </c>
      <c r="I493" s="2" t="s">
        <v>1282</v>
      </c>
      <c r="J493" s="2">
        <v>335533</v>
      </c>
      <c r="K493" s="3">
        <v>25379975</v>
      </c>
      <c r="L493">
        <f t="shared" si="14"/>
        <v>0</v>
      </c>
      <c r="N493">
        <f t="shared" si="15"/>
        <v>0</v>
      </c>
    </row>
    <row r="494" spans="1:14" ht="35.25">
      <c r="A494">
        <v>493</v>
      </c>
      <c r="B494" s="2" t="s">
        <v>1283</v>
      </c>
      <c r="C494" s="2">
        <v>2007</v>
      </c>
      <c r="D494" s="2" t="s">
        <v>257</v>
      </c>
      <c r="E494" s="2" t="s">
        <v>17</v>
      </c>
      <c r="F494" s="2">
        <v>7.9</v>
      </c>
      <c r="G494" s="2">
        <v>97</v>
      </c>
      <c r="H494" s="2" t="s">
        <v>1284</v>
      </c>
      <c r="I494" s="2" t="s">
        <v>1285</v>
      </c>
      <c r="J494" s="2">
        <v>56625</v>
      </c>
      <c r="K494" s="3">
        <v>1185783</v>
      </c>
      <c r="L494">
        <f t="shared" si="14"/>
        <v>0</v>
      </c>
      <c r="N494">
        <f t="shared" si="15"/>
        <v>0</v>
      </c>
    </row>
    <row r="495" spans="1:14" ht="14.25">
      <c r="A495">
        <v>494</v>
      </c>
      <c r="B495" s="2" t="s">
        <v>1286</v>
      </c>
      <c r="C495" s="2">
        <v>2009</v>
      </c>
      <c r="D495" s="2" t="s">
        <v>120</v>
      </c>
      <c r="E495" s="2" t="s">
        <v>27</v>
      </c>
      <c r="F495" s="2">
        <v>7.9</v>
      </c>
      <c r="G495" s="2">
        <v>82</v>
      </c>
      <c r="H495" s="2" t="s">
        <v>1248</v>
      </c>
      <c r="I495" s="2" t="s">
        <v>1287</v>
      </c>
      <c r="J495" s="2">
        <v>577336</v>
      </c>
      <c r="K495" s="3">
        <v>257730019</v>
      </c>
      <c r="L495">
        <f t="shared" si="14"/>
        <v>0</v>
      </c>
      <c r="N495">
        <f t="shared" si="15"/>
        <v>1</v>
      </c>
    </row>
    <row r="496" spans="1:14" ht="23.25">
      <c r="A496">
        <v>495</v>
      </c>
      <c r="B496" s="2" t="s">
        <v>1288</v>
      </c>
      <c r="C496" s="2">
        <v>2008</v>
      </c>
      <c r="D496" s="2" t="s">
        <v>396</v>
      </c>
      <c r="E496" s="2" t="s">
        <v>93</v>
      </c>
      <c r="F496" s="2">
        <v>7.9</v>
      </c>
      <c r="G496" s="2">
        <v>67</v>
      </c>
      <c r="H496" s="2" t="s">
        <v>421</v>
      </c>
      <c r="I496" s="2" t="s">
        <v>1289</v>
      </c>
      <c r="J496" s="2">
        <v>390334</v>
      </c>
      <c r="K496" s="3">
        <v>7757130</v>
      </c>
      <c r="L496">
        <f t="shared" si="14"/>
        <v>0</v>
      </c>
      <c r="N496">
        <f t="shared" si="15"/>
        <v>0</v>
      </c>
    </row>
    <row r="497" spans="1:14" ht="25.5">
      <c r="A497">
        <v>496</v>
      </c>
      <c r="B497" s="2" t="s">
        <v>1290</v>
      </c>
      <c r="C497" s="2">
        <v>2007</v>
      </c>
      <c r="D497" s="2" t="s">
        <v>202</v>
      </c>
      <c r="E497" s="2" t="s">
        <v>60</v>
      </c>
      <c r="F497" s="2">
        <v>7.9</v>
      </c>
      <c r="G497" s="4" t="s">
        <v>90</v>
      </c>
      <c r="H497" s="2" t="s">
        <v>1291</v>
      </c>
      <c r="I497" s="2" t="s">
        <v>1292</v>
      </c>
      <c r="J497" s="2">
        <v>174125</v>
      </c>
      <c r="K497" s="4" t="s">
        <v>90</v>
      </c>
      <c r="L497">
        <f t="shared" si="14"/>
        <v>0</v>
      </c>
      <c r="N497">
        <f t="shared" si="15"/>
        <v>1</v>
      </c>
    </row>
    <row r="498" spans="1:14" ht="23.25">
      <c r="A498">
        <v>497</v>
      </c>
      <c r="B498" s="2" t="s">
        <v>1293</v>
      </c>
      <c r="C498" s="2">
        <v>2006</v>
      </c>
      <c r="D498" s="2" t="s">
        <v>712</v>
      </c>
      <c r="E498" s="2" t="s">
        <v>27</v>
      </c>
      <c r="F498" s="2">
        <v>7.9</v>
      </c>
      <c r="G498" s="2">
        <v>89</v>
      </c>
      <c r="H498" s="2" t="s">
        <v>67</v>
      </c>
      <c r="I498" s="2" t="s">
        <v>1294</v>
      </c>
      <c r="J498" s="2">
        <v>154011</v>
      </c>
      <c r="K498" s="3">
        <v>13756082</v>
      </c>
      <c r="L498">
        <f t="shared" si="14"/>
        <v>0</v>
      </c>
      <c r="N498">
        <f t="shared" si="15"/>
        <v>0</v>
      </c>
    </row>
    <row r="499" spans="1:14" ht="23.25">
      <c r="A499">
        <v>498</v>
      </c>
      <c r="B499" s="2" t="s">
        <v>1295</v>
      </c>
      <c r="C499" s="2">
        <v>2006</v>
      </c>
      <c r="D499" s="2" t="s">
        <v>223</v>
      </c>
      <c r="E499" s="2" t="s">
        <v>102</v>
      </c>
      <c r="F499" s="2">
        <v>7.9</v>
      </c>
      <c r="G499" s="2">
        <v>64</v>
      </c>
      <c r="H499" s="2" t="s">
        <v>1296</v>
      </c>
      <c r="I499" s="2" t="s">
        <v>1297</v>
      </c>
      <c r="J499" s="2">
        <v>107290</v>
      </c>
      <c r="K499" s="3">
        <v>2280348</v>
      </c>
      <c r="L499">
        <f t="shared" si="14"/>
        <v>0</v>
      </c>
      <c r="N499">
        <f t="shared" si="15"/>
        <v>0</v>
      </c>
    </row>
    <row r="500" spans="1:14" ht="23.25">
      <c r="A500">
        <v>499</v>
      </c>
      <c r="B500" s="2" t="s">
        <v>1298</v>
      </c>
      <c r="C500" s="2">
        <v>2012</v>
      </c>
      <c r="D500" s="2" t="s">
        <v>120</v>
      </c>
      <c r="E500" s="2" t="s">
        <v>102</v>
      </c>
      <c r="F500" s="2">
        <v>7.9</v>
      </c>
      <c r="G500" s="2">
        <v>79</v>
      </c>
      <c r="H500" s="2" t="s">
        <v>1299</v>
      </c>
      <c r="I500" s="2" t="s">
        <v>1300</v>
      </c>
      <c r="J500" s="2">
        <v>580708</v>
      </c>
      <c r="K500" s="3">
        <v>124987023</v>
      </c>
      <c r="L500">
        <f t="shared" si="14"/>
        <v>0</v>
      </c>
      <c r="N500">
        <f t="shared" si="15"/>
        <v>1</v>
      </c>
    </row>
    <row r="501" spans="1:14" ht="23.25">
      <c r="A501">
        <v>500</v>
      </c>
      <c r="B501" s="2" t="s">
        <v>1301</v>
      </c>
      <c r="C501" s="2">
        <v>2009</v>
      </c>
      <c r="D501" s="2" t="s">
        <v>202</v>
      </c>
      <c r="E501" s="2" t="s">
        <v>110</v>
      </c>
      <c r="F501" s="2">
        <v>7.9</v>
      </c>
      <c r="G501" s="2">
        <v>83</v>
      </c>
      <c r="H501" s="2" t="s">
        <v>625</v>
      </c>
      <c r="I501" s="2" t="s">
        <v>1302</v>
      </c>
      <c r="J501" s="2">
        <v>199696</v>
      </c>
      <c r="K501" s="3">
        <v>21002919</v>
      </c>
      <c r="L501">
        <f t="shared" si="14"/>
        <v>0</v>
      </c>
      <c r="N501">
        <f t="shared" si="15"/>
        <v>0</v>
      </c>
    </row>
    <row r="502" spans="1:14" ht="25.5">
      <c r="A502">
        <v>501</v>
      </c>
      <c r="B502" s="2" t="s">
        <v>1303</v>
      </c>
      <c r="C502" s="2">
        <v>2005</v>
      </c>
      <c r="D502" s="2" t="s">
        <v>368</v>
      </c>
      <c r="E502" s="2" t="s">
        <v>93</v>
      </c>
      <c r="F502" s="2">
        <v>7.9</v>
      </c>
      <c r="G502" s="2">
        <v>81</v>
      </c>
      <c r="H502" s="2" t="s">
        <v>981</v>
      </c>
      <c r="I502" s="2" t="s">
        <v>1304</v>
      </c>
      <c r="J502" s="2">
        <v>31476</v>
      </c>
      <c r="K502" s="4" t="s">
        <v>90</v>
      </c>
      <c r="L502">
        <f t="shared" si="14"/>
        <v>0</v>
      </c>
      <c r="N502">
        <f t="shared" si="15"/>
        <v>1</v>
      </c>
    </row>
    <row r="503" spans="1:14" ht="23.25">
      <c r="A503">
        <v>502</v>
      </c>
      <c r="B503" s="2" t="s">
        <v>1305</v>
      </c>
      <c r="C503" s="2">
        <v>2004</v>
      </c>
      <c r="D503" s="2" t="s">
        <v>1191</v>
      </c>
      <c r="E503" s="2" t="s">
        <v>60</v>
      </c>
      <c r="F503" s="2">
        <v>7.9</v>
      </c>
      <c r="G503" s="2">
        <v>56</v>
      </c>
      <c r="H503" s="2" t="s">
        <v>1306</v>
      </c>
      <c r="I503" s="2" t="s">
        <v>1307</v>
      </c>
      <c r="J503" s="2">
        <v>57430</v>
      </c>
      <c r="K503" s="3">
        <v>3635164</v>
      </c>
      <c r="L503">
        <f t="shared" si="14"/>
        <v>0</v>
      </c>
      <c r="N503">
        <f t="shared" si="15"/>
        <v>0</v>
      </c>
    </row>
    <row r="504" spans="1:14" ht="23.25">
      <c r="A504">
        <v>503</v>
      </c>
      <c r="B504" s="2" t="s">
        <v>1308</v>
      </c>
      <c r="C504" s="2">
        <v>2008</v>
      </c>
      <c r="D504" s="2" t="s">
        <v>206</v>
      </c>
      <c r="E504" s="2" t="s">
        <v>27</v>
      </c>
      <c r="F504" s="2">
        <v>7.9</v>
      </c>
      <c r="G504" s="2">
        <v>79</v>
      </c>
      <c r="H504" s="2" t="s">
        <v>1309</v>
      </c>
      <c r="I504" s="2" t="s">
        <v>976</v>
      </c>
      <c r="J504" s="2">
        <v>939644</v>
      </c>
      <c r="K504" s="3">
        <v>318412101</v>
      </c>
      <c r="L504">
        <f t="shared" si="14"/>
        <v>0</v>
      </c>
      <c r="N504">
        <f t="shared" si="15"/>
        <v>1</v>
      </c>
    </row>
    <row r="505" spans="1:14" ht="23.25">
      <c r="A505">
        <v>504</v>
      </c>
      <c r="B505" s="2" t="s">
        <v>1310</v>
      </c>
      <c r="C505" s="2">
        <v>2004</v>
      </c>
      <c r="D505" s="2" t="s">
        <v>348</v>
      </c>
      <c r="E505" s="2" t="s">
        <v>93</v>
      </c>
      <c r="F505" s="2">
        <v>7.9</v>
      </c>
      <c r="G505" s="2">
        <v>76</v>
      </c>
      <c r="H505" s="2" t="s">
        <v>1311</v>
      </c>
      <c r="I505" s="2" t="s">
        <v>1312</v>
      </c>
      <c r="J505" s="2">
        <v>512249</v>
      </c>
      <c r="K505" s="3">
        <v>13542874</v>
      </c>
      <c r="L505">
        <f t="shared" si="14"/>
        <v>0</v>
      </c>
      <c r="N505">
        <f t="shared" si="15"/>
        <v>0</v>
      </c>
    </row>
    <row r="506" spans="1:14" ht="25.5">
      <c r="A506">
        <v>505</v>
      </c>
      <c r="B506" s="2" t="s">
        <v>1313</v>
      </c>
      <c r="C506" s="2">
        <v>2004</v>
      </c>
      <c r="D506" s="2" t="s">
        <v>127</v>
      </c>
      <c r="E506" s="2" t="s">
        <v>60</v>
      </c>
      <c r="F506" s="2">
        <v>7.9</v>
      </c>
      <c r="G506" s="2">
        <v>78</v>
      </c>
      <c r="H506" s="2" t="s">
        <v>1314</v>
      </c>
      <c r="I506" s="2" t="s">
        <v>1315</v>
      </c>
      <c r="J506" s="2">
        <v>51325</v>
      </c>
      <c r="K506" s="4" t="s">
        <v>90</v>
      </c>
      <c r="L506">
        <f t="shared" si="14"/>
        <v>0</v>
      </c>
      <c r="N506">
        <f t="shared" si="15"/>
        <v>1</v>
      </c>
    </row>
    <row r="507" spans="1:14" ht="23.25">
      <c r="A507">
        <v>506</v>
      </c>
      <c r="B507" s="2" t="s">
        <v>1316</v>
      </c>
      <c r="C507" s="2">
        <v>2003</v>
      </c>
      <c r="D507" s="2" t="s">
        <v>410</v>
      </c>
      <c r="E507" s="2" t="s">
        <v>22</v>
      </c>
      <c r="F507" s="2">
        <v>7.9</v>
      </c>
      <c r="G507" s="2">
        <v>84</v>
      </c>
      <c r="H507" s="2" t="s">
        <v>67</v>
      </c>
      <c r="I507" s="2" t="s">
        <v>683</v>
      </c>
      <c r="J507" s="2">
        <v>419420</v>
      </c>
      <c r="K507" s="3">
        <v>90135191</v>
      </c>
      <c r="L507">
        <f t="shared" si="14"/>
        <v>0</v>
      </c>
      <c r="N507">
        <f t="shared" si="15"/>
        <v>1</v>
      </c>
    </row>
    <row r="508" spans="1:14" ht="47.25">
      <c r="A508">
        <v>507</v>
      </c>
      <c r="B508" s="2" t="s">
        <v>1317</v>
      </c>
      <c r="C508" s="2">
        <v>2004</v>
      </c>
      <c r="D508" s="2" t="s">
        <v>16</v>
      </c>
      <c r="E508" s="2" t="s">
        <v>102</v>
      </c>
      <c r="F508" s="2">
        <v>7.9</v>
      </c>
      <c r="G508" s="2">
        <v>82</v>
      </c>
      <c r="H508" s="2" t="s">
        <v>1318</v>
      </c>
      <c r="I508" s="2" t="s">
        <v>668</v>
      </c>
      <c r="J508" s="2">
        <v>552493</v>
      </c>
      <c r="K508" s="3">
        <v>249358727</v>
      </c>
      <c r="L508">
        <f t="shared" si="14"/>
        <v>0</v>
      </c>
      <c r="N508">
        <f t="shared" si="15"/>
        <v>1</v>
      </c>
    </row>
    <row r="509" spans="1:14" ht="23.25">
      <c r="A509">
        <v>508</v>
      </c>
      <c r="B509" s="2" t="s">
        <v>1319</v>
      </c>
      <c r="C509" s="2">
        <v>2002</v>
      </c>
      <c r="D509" s="2" t="s">
        <v>660</v>
      </c>
      <c r="E509" s="2" t="s">
        <v>27</v>
      </c>
      <c r="F509" s="2">
        <v>7.9</v>
      </c>
      <c r="G509" s="2">
        <v>85</v>
      </c>
      <c r="H509" s="2" t="s">
        <v>761</v>
      </c>
      <c r="I509" s="2" t="s">
        <v>1320</v>
      </c>
      <c r="J509" s="2">
        <v>173999</v>
      </c>
      <c r="K509" s="3">
        <v>53710019</v>
      </c>
      <c r="L509">
        <f t="shared" si="14"/>
        <v>0</v>
      </c>
      <c r="N509">
        <f t="shared" si="15"/>
        <v>1</v>
      </c>
    </row>
    <row r="510" spans="1:14" ht="23.25">
      <c r="A510">
        <v>509</v>
      </c>
      <c r="B510" s="2" t="s">
        <v>1321</v>
      </c>
      <c r="C510" s="2">
        <v>2002</v>
      </c>
      <c r="D510" s="2" t="s">
        <v>148</v>
      </c>
      <c r="E510" s="2" t="s">
        <v>60</v>
      </c>
      <c r="F510" s="2">
        <v>7.9</v>
      </c>
      <c r="G510" s="2">
        <v>86</v>
      </c>
      <c r="H510" s="2" t="s">
        <v>1322</v>
      </c>
      <c r="I510" s="2" t="s">
        <v>1323</v>
      </c>
      <c r="J510" s="2">
        <v>104691</v>
      </c>
      <c r="K510" s="3">
        <v>9284265</v>
      </c>
      <c r="L510">
        <f t="shared" si="14"/>
        <v>0</v>
      </c>
      <c r="N510">
        <f t="shared" si="15"/>
        <v>0</v>
      </c>
    </row>
    <row r="511" spans="1:14" ht="23.25">
      <c r="A511">
        <v>510</v>
      </c>
      <c r="B511" s="2" t="s">
        <v>1324</v>
      </c>
      <c r="C511" s="2">
        <v>2001</v>
      </c>
      <c r="D511" s="2" t="s">
        <v>246</v>
      </c>
      <c r="E511" s="2" t="s">
        <v>93</v>
      </c>
      <c r="F511" s="2">
        <v>7.9</v>
      </c>
      <c r="G511" s="2">
        <v>84</v>
      </c>
      <c r="H511" s="2" t="s">
        <v>1325</v>
      </c>
      <c r="I511" s="2" t="s">
        <v>1326</v>
      </c>
      <c r="J511" s="2">
        <v>44618</v>
      </c>
      <c r="K511" s="3">
        <v>1059830</v>
      </c>
      <c r="L511">
        <f t="shared" si="14"/>
        <v>0</v>
      </c>
      <c r="N511">
        <f t="shared" si="15"/>
        <v>0</v>
      </c>
    </row>
    <row r="512" spans="1:14" ht="35.25">
      <c r="A512">
        <v>511</v>
      </c>
      <c r="B512" s="2" t="s">
        <v>1327</v>
      </c>
      <c r="C512" s="2">
        <v>2001</v>
      </c>
      <c r="D512" s="2" t="s">
        <v>266</v>
      </c>
      <c r="E512" s="2" t="s">
        <v>110</v>
      </c>
      <c r="F512" s="2">
        <v>7.9</v>
      </c>
      <c r="G512" s="2">
        <v>61</v>
      </c>
      <c r="H512" s="2" t="s">
        <v>1328</v>
      </c>
      <c r="I512" s="2" t="s">
        <v>1329</v>
      </c>
      <c r="J512" s="2">
        <v>42897</v>
      </c>
      <c r="K512" s="3">
        <v>1000045</v>
      </c>
      <c r="L512">
        <f t="shared" si="14"/>
        <v>0</v>
      </c>
      <c r="N512">
        <f t="shared" si="15"/>
        <v>0</v>
      </c>
    </row>
    <row r="513" spans="1:14" ht="23.25">
      <c r="A513">
        <v>512</v>
      </c>
      <c r="B513" s="2" t="s">
        <v>1330</v>
      </c>
      <c r="C513" s="2">
        <v>2002</v>
      </c>
      <c r="D513" s="2" t="s">
        <v>163</v>
      </c>
      <c r="E513" s="2" t="s">
        <v>27</v>
      </c>
      <c r="F513" s="2">
        <v>7.9</v>
      </c>
      <c r="G513" s="2">
        <v>68</v>
      </c>
      <c r="H513" s="2" t="s">
        <v>1260</v>
      </c>
      <c r="I513" s="2" t="s">
        <v>1331</v>
      </c>
      <c r="J513" s="2">
        <v>508771</v>
      </c>
      <c r="K513" s="3">
        <v>121661683</v>
      </c>
      <c r="L513">
        <f t="shared" si="14"/>
        <v>0</v>
      </c>
      <c r="N513">
        <f t="shared" si="15"/>
        <v>1</v>
      </c>
    </row>
    <row r="514" spans="1:14" ht="23.25">
      <c r="A514">
        <v>513</v>
      </c>
      <c r="B514" s="2" t="s">
        <v>1332</v>
      </c>
      <c r="C514" s="2">
        <v>2000</v>
      </c>
      <c r="D514" s="2" t="s">
        <v>366</v>
      </c>
      <c r="E514" s="2" t="s">
        <v>22</v>
      </c>
      <c r="F514" s="2">
        <v>7.9</v>
      </c>
      <c r="G514" s="2">
        <v>80</v>
      </c>
      <c r="H514" s="2" t="s">
        <v>1333</v>
      </c>
      <c r="I514" s="2" t="s">
        <v>458</v>
      </c>
      <c r="J514" s="2">
        <v>49721</v>
      </c>
      <c r="K514" s="3">
        <v>1221261</v>
      </c>
      <c r="L514">
        <f t="shared" si="14"/>
        <v>0</v>
      </c>
      <c r="N514">
        <f t="shared" si="15"/>
        <v>0</v>
      </c>
    </row>
    <row r="515" spans="1:14" ht="23.25">
      <c r="A515">
        <v>514</v>
      </c>
      <c r="B515" s="2" t="s">
        <v>1334</v>
      </c>
      <c r="C515" s="2">
        <v>2006</v>
      </c>
      <c r="D515" s="2" t="s">
        <v>193</v>
      </c>
      <c r="E515" s="2" t="s">
        <v>102</v>
      </c>
      <c r="F515" s="2">
        <v>7.9</v>
      </c>
      <c r="G515" s="2">
        <v>84</v>
      </c>
      <c r="H515" s="2" t="s">
        <v>1318</v>
      </c>
      <c r="I515" s="2" t="s">
        <v>1335</v>
      </c>
      <c r="J515" s="2">
        <v>465113</v>
      </c>
      <c r="K515" s="3">
        <v>35552383</v>
      </c>
      <c r="L515">
        <f t="shared" ref="L515:L578" si="16">IF(AND(F515&gt;=8.2, G515&gt;8.2), 1, 0)</f>
        <v>0</v>
      </c>
      <c r="N515">
        <f t="shared" ref="N515:N578" si="17">IF(K515&gt;=50000000, 1, 0)</f>
        <v>0</v>
      </c>
    </row>
    <row r="516" spans="1:14" ht="23.25">
      <c r="A516">
        <v>515</v>
      </c>
      <c r="B516" s="2" t="s">
        <v>1336</v>
      </c>
      <c r="C516" s="2">
        <v>2000</v>
      </c>
      <c r="D516" s="2" t="s">
        <v>140</v>
      </c>
      <c r="E516" s="2" t="s">
        <v>102</v>
      </c>
      <c r="F516" s="2">
        <v>7.9</v>
      </c>
      <c r="G516" s="2">
        <v>90</v>
      </c>
      <c r="H516" s="2" t="s">
        <v>1337</v>
      </c>
      <c r="I516" s="2" t="s">
        <v>1338</v>
      </c>
      <c r="J516" s="2">
        <v>252586</v>
      </c>
      <c r="K516" s="3">
        <v>32534850</v>
      </c>
      <c r="L516">
        <f t="shared" si="16"/>
        <v>0</v>
      </c>
      <c r="N516">
        <f t="shared" si="17"/>
        <v>0</v>
      </c>
    </row>
    <row r="517" spans="1:14" ht="23.25">
      <c r="A517">
        <v>516</v>
      </c>
      <c r="B517" s="2" t="s">
        <v>1339</v>
      </c>
      <c r="C517" s="2">
        <v>2001</v>
      </c>
      <c r="D517" s="2" t="s">
        <v>213</v>
      </c>
      <c r="E517" s="2" t="s">
        <v>60</v>
      </c>
      <c r="F517" s="2">
        <v>7.9</v>
      </c>
      <c r="G517" s="2">
        <v>85</v>
      </c>
      <c r="H517" s="2" t="s">
        <v>789</v>
      </c>
      <c r="I517" s="2" t="s">
        <v>1340</v>
      </c>
      <c r="J517" s="2">
        <v>322031</v>
      </c>
      <c r="K517" s="3">
        <v>7220243</v>
      </c>
      <c r="L517">
        <f t="shared" si="16"/>
        <v>0</v>
      </c>
      <c r="N517">
        <f t="shared" si="17"/>
        <v>0</v>
      </c>
    </row>
    <row r="518" spans="1:14" ht="23.25">
      <c r="A518">
        <v>517</v>
      </c>
      <c r="B518" s="2" t="s">
        <v>1341</v>
      </c>
      <c r="C518" s="2">
        <v>1999</v>
      </c>
      <c r="D518" s="2" t="s">
        <v>676</v>
      </c>
      <c r="E518" s="2" t="s">
        <v>110</v>
      </c>
      <c r="F518" s="2">
        <v>7.9</v>
      </c>
      <c r="G518" s="2">
        <v>88</v>
      </c>
      <c r="H518" s="2" t="s">
        <v>344</v>
      </c>
      <c r="I518" s="2" t="s">
        <v>1342</v>
      </c>
      <c r="J518" s="2">
        <v>527512</v>
      </c>
      <c r="K518" s="3">
        <v>245852179</v>
      </c>
      <c r="L518">
        <f t="shared" si="16"/>
        <v>0</v>
      </c>
      <c r="N518">
        <f t="shared" si="17"/>
        <v>1</v>
      </c>
    </row>
    <row r="519" spans="1:14" ht="35.25">
      <c r="A519">
        <v>518</v>
      </c>
      <c r="B519" s="2" t="s">
        <v>1343</v>
      </c>
      <c r="C519" s="2">
        <v>1997</v>
      </c>
      <c r="D519" s="2" t="s">
        <v>159</v>
      </c>
      <c r="E519" s="2" t="s">
        <v>17</v>
      </c>
      <c r="F519" s="2">
        <v>7.9</v>
      </c>
      <c r="G519" s="2">
        <v>85</v>
      </c>
      <c r="H519" s="2" t="s">
        <v>474</v>
      </c>
      <c r="I519" s="2" t="s">
        <v>1344</v>
      </c>
      <c r="J519" s="2">
        <v>239473</v>
      </c>
      <c r="K519" s="3">
        <v>26400640</v>
      </c>
      <c r="L519">
        <f t="shared" si="16"/>
        <v>0</v>
      </c>
      <c r="N519">
        <f t="shared" si="17"/>
        <v>0</v>
      </c>
    </row>
    <row r="520" spans="1:14" ht="25.5">
      <c r="A520">
        <v>519</v>
      </c>
      <c r="B520" s="2" t="s">
        <v>1345</v>
      </c>
      <c r="C520" s="2">
        <v>1995</v>
      </c>
      <c r="D520" s="2" t="s">
        <v>708</v>
      </c>
      <c r="E520" s="2" t="s">
        <v>110</v>
      </c>
      <c r="F520" s="2">
        <v>7.9</v>
      </c>
      <c r="G520" s="2">
        <v>75</v>
      </c>
      <c r="H520" s="2" t="s">
        <v>1346</v>
      </c>
      <c r="I520" s="2" t="s">
        <v>1347</v>
      </c>
      <c r="J520" s="2">
        <v>51943</v>
      </c>
      <c r="K520" s="4" t="s">
        <v>90</v>
      </c>
      <c r="L520">
        <f t="shared" si="16"/>
        <v>0</v>
      </c>
      <c r="N520">
        <f t="shared" si="17"/>
        <v>1</v>
      </c>
    </row>
    <row r="521" spans="1:14" ht="23.25">
      <c r="A521">
        <v>520</v>
      </c>
      <c r="B521" s="2" t="s">
        <v>1348</v>
      </c>
      <c r="C521" s="2">
        <v>1994</v>
      </c>
      <c r="D521" s="2" t="s">
        <v>198</v>
      </c>
      <c r="E521" s="2" t="s">
        <v>22</v>
      </c>
      <c r="F521" s="2">
        <v>7.9</v>
      </c>
      <c r="G521" s="2">
        <v>77</v>
      </c>
      <c r="H521" s="2" t="s">
        <v>1349</v>
      </c>
      <c r="I521" s="2" t="s">
        <v>1350</v>
      </c>
      <c r="J521" s="2">
        <v>31590</v>
      </c>
      <c r="K521" s="3">
        <v>2201126</v>
      </c>
      <c r="L521">
        <f t="shared" si="16"/>
        <v>0</v>
      </c>
      <c r="N521">
        <f t="shared" si="17"/>
        <v>0</v>
      </c>
    </row>
    <row r="522" spans="1:14" ht="23.25">
      <c r="A522">
        <v>521</v>
      </c>
      <c r="B522" s="2" t="s">
        <v>1351</v>
      </c>
      <c r="C522" s="2">
        <v>1993</v>
      </c>
      <c r="D522" s="2" t="s">
        <v>163</v>
      </c>
      <c r="E522" s="2" t="s">
        <v>22</v>
      </c>
      <c r="F522" s="2">
        <v>7.9</v>
      </c>
      <c r="G522" s="2">
        <v>59</v>
      </c>
      <c r="H522" s="2" t="s">
        <v>1352</v>
      </c>
      <c r="I522" s="2" t="s">
        <v>1353</v>
      </c>
      <c r="J522" s="2">
        <v>206918</v>
      </c>
      <c r="K522" s="3">
        <v>12281500</v>
      </c>
      <c r="L522">
        <f t="shared" si="16"/>
        <v>0</v>
      </c>
      <c r="N522">
        <f t="shared" si="17"/>
        <v>0</v>
      </c>
    </row>
    <row r="523" spans="1:14" ht="23.25">
      <c r="A523">
        <v>522</v>
      </c>
      <c r="B523" s="2" t="s">
        <v>1354</v>
      </c>
      <c r="C523" s="2">
        <v>1993</v>
      </c>
      <c r="D523" s="2" t="s">
        <v>792</v>
      </c>
      <c r="E523" s="2" t="s">
        <v>60</v>
      </c>
      <c r="F523" s="2">
        <v>7.9</v>
      </c>
      <c r="G523" s="2">
        <v>85</v>
      </c>
      <c r="H523" s="2" t="s">
        <v>748</v>
      </c>
      <c r="I523" s="2" t="s">
        <v>1355</v>
      </c>
      <c r="J523" s="2">
        <v>89836</v>
      </c>
      <c r="K523" s="3">
        <v>1324974</v>
      </c>
      <c r="L523">
        <f t="shared" si="16"/>
        <v>0</v>
      </c>
      <c r="N523">
        <f t="shared" si="17"/>
        <v>0</v>
      </c>
    </row>
    <row r="524" spans="1:14" ht="25.5">
      <c r="A524">
        <v>523</v>
      </c>
      <c r="B524" s="2" t="s">
        <v>1356</v>
      </c>
      <c r="C524" s="2">
        <v>1993</v>
      </c>
      <c r="D524" s="2" t="s">
        <v>792</v>
      </c>
      <c r="E524" s="2" t="s">
        <v>110</v>
      </c>
      <c r="F524" s="2">
        <v>7.9</v>
      </c>
      <c r="G524" s="4" t="s">
        <v>90</v>
      </c>
      <c r="H524" s="2" t="s">
        <v>1357</v>
      </c>
      <c r="I524" s="2" t="s">
        <v>1358</v>
      </c>
      <c r="J524" s="2">
        <v>34529</v>
      </c>
      <c r="K524" s="4" t="s">
        <v>90</v>
      </c>
      <c r="L524">
        <f t="shared" si="16"/>
        <v>0</v>
      </c>
      <c r="N524">
        <f t="shared" si="17"/>
        <v>1</v>
      </c>
    </row>
    <row r="525" spans="1:14" ht="23.25">
      <c r="A525">
        <v>524</v>
      </c>
      <c r="B525" s="2" t="s">
        <v>1359</v>
      </c>
      <c r="C525" s="2">
        <v>1993</v>
      </c>
      <c r="D525" s="2" t="s">
        <v>689</v>
      </c>
      <c r="E525" s="2" t="s">
        <v>22</v>
      </c>
      <c r="F525" s="2">
        <v>7.9</v>
      </c>
      <c r="G525" s="2">
        <v>65</v>
      </c>
      <c r="H525" s="2" t="s">
        <v>359</v>
      </c>
      <c r="I525" s="2" t="s">
        <v>32</v>
      </c>
      <c r="J525" s="2">
        <v>201000</v>
      </c>
      <c r="K525" s="3">
        <v>36948322</v>
      </c>
      <c r="L525">
        <f t="shared" si="16"/>
        <v>0</v>
      </c>
      <c r="N525">
        <f t="shared" si="17"/>
        <v>0</v>
      </c>
    </row>
    <row r="526" spans="1:14" ht="23.25">
      <c r="A526">
        <v>525</v>
      </c>
      <c r="B526" s="2" t="s">
        <v>1360</v>
      </c>
      <c r="C526" s="2">
        <v>1990</v>
      </c>
      <c r="D526" s="2" t="s">
        <v>233</v>
      </c>
      <c r="E526" s="2" t="s">
        <v>60</v>
      </c>
      <c r="F526" s="2">
        <v>7.9</v>
      </c>
      <c r="G526" s="2">
        <v>74</v>
      </c>
      <c r="H526" s="2" t="s">
        <v>1025</v>
      </c>
      <c r="I526" s="2" t="s">
        <v>1023</v>
      </c>
      <c r="J526" s="2">
        <v>447368</v>
      </c>
      <c r="K526" s="3">
        <v>56362352</v>
      </c>
      <c r="L526">
        <f t="shared" si="16"/>
        <v>0</v>
      </c>
      <c r="N526">
        <f t="shared" si="17"/>
        <v>1</v>
      </c>
    </row>
    <row r="527" spans="1:14" ht="35.25">
      <c r="A527">
        <v>526</v>
      </c>
      <c r="B527" s="2" t="s">
        <v>1361</v>
      </c>
      <c r="C527" s="2">
        <v>1989</v>
      </c>
      <c r="D527" s="2" t="s">
        <v>387</v>
      </c>
      <c r="E527" s="2" t="s">
        <v>47</v>
      </c>
      <c r="F527" s="2">
        <v>7.9</v>
      </c>
      <c r="G527" s="2">
        <v>97</v>
      </c>
      <c r="H527" s="2" t="s">
        <v>755</v>
      </c>
      <c r="I527" s="2" t="s">
        <v>475</v>
      </c>
      <c r="J527" s="2">
        <v>68076</v>
      </c>
      <c r="K527" s="3">
        <v>14743391</v>
      </c>
      <c r="L527">
        <f t="shared" si="16"/>
        <v>0</v>
      </c>
      <c r="N527">
        <f t="shared" si="17"/>
        <v>0</v>
      </c>
    </row>
    <row r="528" spans="1:14" ht="23.25">
      <c r="A528">
        <v>527</v>
      </c>
      <c r="B528" s="2" t="s">
        <v>1362</v>
      </c>
      <c r="C528" s="2">
        <v>1989</v>
      </c>
      <c r="D528" s="2" t="s">
        <v>295</v>
      </c>
      <c r="E528" s="2" t="s">
        <v>93</v>
      </c>
      <c r="F528" s="2">
        <v>7.9</v>
      </c>
      <c r="G528" s="2">
        <v>77</v>
      </c>
      <c r="H528" s="2" t="s">
        <v>1116</v>
      </c>
      <c r="I528" s="2" t="s">
        <v>1363</v>
      </c>
      <c r="J528" s="2">
        <v>54670</v>
      </c>
      <c r="K528" s="3">
        <v>18254702</v>
      </c>
      <c r="L528">
        <f t="shared" si="16"/>
        <v>0</v>
      </c>
      <c r="N528">
        <f t="shared" si="17"/>
        <v>0</v>
      </c>
    </row>
    <row r="529" spans="1:14" ht="23.25">
      <c r="A529">
        <v>528</v>
      </c>
      <c r="B529" s="2" t="s">
        <v>1364</v>
      </c>
      <c r="C529" s="2">
        <v>1987</v>
      </c>
      <c r="D529" s="2" t="s">
        <v>163</v>
      </c>
      <c r="E529" s="2" t="s">
        <v>22</v>
      </c>
      <c r="F529" s="2">
        <v>7.9</v>
      </c>
      <c r="G529" s="2">
        <v>79</v>
      </c>
      <c r="H529" s="2" t="s">
        <v>359</v>
      </c>
      <c r="I529" s="2" t="s">
        <v>1084</v>
      </c>
      <c r="J529" s="2">
        <v>281842</v>
      </c>
      <c r="K529" s="3">
        <v>76270454</v>
      </c>
      <c r="L529">
        <f t="shared" si="16"/>
        <v>0</v>
      </c>
      <c r="N529">
        <f t="shared" si="17"/>
        <v>1</v>
      </c>
    </row>
    <row r="530" spans="1:14" ht="23.25">
      <c r="A530">
        <v>529</v>
      </c>
      <c r="B530" s="2" t="s">
        <v>1365</v>
      </c>
      <c r="C530" s="2">
        <v>1986</v>
      </c>
      <c r="D530" s="2" t="s">
        <v>396</v>
      </c>
      <c r="E530" s="2" t="s">
        <v>93</v>
      </c>
      <c r="F530" s="2">
        <v>7.9</v>
      </c>
      <c r="G530" s="2">
        <v>90</v>
      </c>
      <c r="H530" s="2" t="s">
        <v>1116</v>
      </c>
      <c r="I530" s="2" t="s">
        <v>1139</v>
      </c>
      <c r="J530" s="2">
        <v>67176</v>
      </c>
      <c r="K530" s="3">
        <v>40084041</v>
      </c>
      <c r="L530">
        <f t="shared" si="16"/>
        <v>0</v>
      </c>
      <c r="N530">
        <f t="shared" si="17"/>
        <v>0</v>
      </c>
    </row>
    <row r="531" spans="1:14" ht="23.25">
      <c r="A531">
        <v>530</v>
      </c>
      <c r="B531" s="2" t="s">
        <v>1366</v>
      </c>
      <c r="C531" s="2">
        <v>1985</v>
      </c>
      <c r="D531" s="2" t="s">
        <v>92</v>
      </c>
      <c r="E531" s="2" t="s">
        <v>60</v>
      </c>
      <c r="F531" s="2">
        <v>7.9</v>
      </c>
      <c r="G531" s="2">
        <v>84</v>
      </c>
      <c r="H531" s="2" t="s">
        <v>543</v>
      </c>
      <c r="I531" s="2" t="s">
        <v>1367</v>
      </c>
      <c r="J531" s="2">
        <v>187567</v>
      </c>
      <c r="K531" s="3">
        <v>9929135</v>
      </c>
      <c r="L531">
        <f t="shared" si="16"/>
        <v>0</v>
      </c>
      <c r="N531">
        <f t="shared" si="17"/>
        <v>0</v>
      </c>
    </row>
    <row r="532" spans="1:14" ht="23.25">
      <c r="A532">
        <v>531</v>
      </c>
      <c r="B532" s="2" t="s">
        <v>1368</v>
      </c>
      <c r="C532" s="2">
        <v>1984</v>
      </c>
      <c r="D532" s="2" t="s">
        <v>1369</v>
      </c>
      <c r="E532" s="2" t="s">
        <v>93</v>
      </c>
      <c r="F532" s="2">
        <v>7.9</v>
      </c>
      <c r="G532" s="2">
        <v>92</v>
      </c>
      <c r="H532" s="2" t="s">
        <v>765</v>
      </c>
      <c r="I532" s="2" t="s">
        <v>765</v>
      </c>
      <c r="J532" s="2">
        <v>128812</v>
      </c>
      <c r="K532" s="3">
        <v>188751</v>
      </c>
      <c r="L532">
        <f t="shared" si="16"/>
        <v>0</v>
      </c>
      <c r="N532">
        <f t="shared" si="17"/>
        <v>0</v>
      </c>
    </row>
    <row r="533" spans="1:14" ht="23.25">
      <c r="A533">
        <v>532</v>
      </c>
      <c r="B533" s="2" t="s">
        <v>1370</v>
      </c>
      <c r="C533" s="2">
        <v>1983</v>
      </c>
      <c r="D533" s="2" t="s">
        <v>649</v>
      </c>
      <c r="E533" s="2" t="s">
        <v>93</v>
      </c>
      <c r="F533" s="2">
        <v>7.9</v>
      </c>
      <c r="G533" s="2">
        <v>77</v>
      </c>
      <c r="H533" s="2" t="s">
        <v>1371</v>
      </c>
      <c r="I533" s="2" t="s">
        <v>1372</v>
      </c>
      <c r="J533" s="2">
        <v>132947</v>
      </c>
      <c r="K533" s="3">
        <v>20605209</v>
      </c>
      <c r="L533">
        <f t="shared" si="16"/>
        <v>0</v>
      </c>
      <c r="N533">
        <f t="shared" si="17"/>
        <v>0</v>
      </c>
    </row>
    <row r="534" spans="1:14" ht="23.25">
      <c r="A534">
        <v>533</v>
      </c>
      <c r="B534" s="2" t="s">
        <v>1373</v>
      </c>
      <c r="C534" s="2">
        <v>1980</v>
      </c>
      <c r="D534" s="2" t="s">
        <v>83</v>
      </c>
      <c r="E534" s="2" t="s">
        <v>27</v>
      </c>
      <c r="F534" s="2">
        <v>7.9</v>
      </c>
      <c r="G534" s="2">
        <v>60</v>
      </c>
      <c r="H534" s="2" t="s">
        <v>1374</v>
      </c>
      <c r="I534" s="2" t="s">
        <v>1375</v>
      </c>
      <c r="J534" s="2">
        <v>183182</v>
      </c>
      <c r="K534" s="3">
        <v>57229890</v>
      </c>
      <c r="L534">
        <f t="shared" si="16"/>
        <v>0</v>
      </c>
      <c r="N534">
        <f t="shared" si="17"/>
        <v>1</v>
      </c>
    </row>
    <row r="535" spans="1:14" ht="23.25">
      <c r="A535">
        <v>534</v>
      </c>
      <c r="B535" s="2" t="s">
        <v>1376</v>
      </c>
      <c r="C535" s="2">
        <v>1979</v>
      </c>
      <c r="D535" s="2" t="s">
        <v>34</v>
      </c>
      <c r="E535" s="2" t="s">
        <v>93</v>
      </c>
      <c r="F535" s="2">
        <v>7.9</v>
      </c>
      <c r="G535" s="2">
        <v>83</v>
      </c>
      <c r="H535" s="2" t="s">
        <v>1116</v>
      </c>
      <c r="I535" s="2" t="s">
        <v>1116</v>
      </c>
      <c r="J535" s="2">
        <v>131436</v>
      </c>
      <c r="K535" s="3">
        <v>45700000</v>
      </c>
      <c r="L535">
        <f t="shared" si="16"/>
        <v>0</v>
      </c>
      <c r="N535">
        <f t="shared" si="17"/>
        <v>0</v>
      </c>
    </row>
    <row r="536" spans="1:14" ht="23.25">
      <c r="A536">
        <v>535</v>
      </c>
      <c r="B536" s="2" t="s">
        <v>1377</v>
      </c>
      <c r="C536" s="2">
        <v>1979</v>
      </c>
      <c r="D536" s="2" t="s">
        <v>308</v>
      </c>
      <c r="E536" s="2" t="s">
        <v>60</v>
      </c>
      <c r="F536" s="2">
        <v>7.9</v>
      </c>
      <c r="G536" s="2">
        <v>72</v>
      </c>
      <c r="H536" s="2" t="s">
        <v>1378</v>
      </c>
      <c r="I536" s="2" t="s">
        <v>1118</v>
      </c>
      <c r="J536" s="2">
        <v>28223</v>
      </c>
      <c r="K536" s="3">
        <v>37823676</v>
      </c>
      <c r="L536">
        <f t="shared" si="16"/>
        <v>0</v>
      </c>
      <c r="N536">
        <f t="shared" si="17"/>
        <v>0</v>
      </c>
    </row>
    <row r="537" spans="1:14" ht="23.25">
      <c r="A537">
        <v>536</v>
      </c>
      <c r="B537" s="2" t="s">
        <v>1379</v>
      </c>
      <c r="C537" s="2">
        <v>1978</v>
      </c>
      <c r="D537" s="2" t="s">
        <v>120</v>
      </c>
      <c r="E537" s="2" t="s">
        <v>27</v>
      </c>
      <c r="F537" s="2">
        <v>7.9</v>
      </c>
      <c r="G537" s="2">
        <v>71</v>
      </c>
      <c r="H537" s="2" t="s">
        <v>1380</v>
      </c>
      <c r="I537" s="2" t="s">
        <v>1381</v>
      </c>
      <c r="J537" s="2">
        <v>111512</v>
      </c>
      <c r="K537" s="3">
        <v>5100000</v>
      </c>
      <c r="L537">
        <f t="shared" si="16"/>
        <v>0</v>
      </c>
      <c r="N537">
        <f t="shared" si="17"/>
        <v>0</v>
      </c>
    </row>
    <row r="538" spans="1:14" ht="23.25">
      <c r="A538">
        <v>537</v>
      </c>
      <c r="B538" s="2" t="s">
        <v>1382</v>
      </c>
      <c r="C538" s="2">
        <v>1976</v>
      </c>
      <c r="D538" s="2" t="s">
        <v>410</v>
      </c>
      <c r="E538" s="2" t="s">
        <v>47</v>
      </c>
      <c r="F538" s="2">
        <v>7.9</v>
      </c>
      <c r="G538" s="2">
        <v>84</v>
      </c>
      <c r="H538" s="2" t="s">
        <v>1383</v>
      </c>
      <c r="I538" s="2" t="s">
        <v>1095</v>
      </c>
      <c r="J538" s="2">
        <v>103031</v>
      </c>
      <c r="K538" s="3">
        <v>70600000</v>
      </c>
      <c r="L538">
        <f t="shared" si="16"/>
        <v>0</v>
      </c>
      <c r="N538">
        <f t="shared" si="17"/>
        <v>1</v>
      </c>
    </row>
    <row r="539" spans="1:14" ht="23.25">
      <c r="A539">
        <v>538</v>
      </c>
      <c r="B539" s="2" t="s">
        <v>1384</v>
      </c>
      <c r="C539" s="2">
        <v>1973</v>
      </c>
      <c r="D539" s="2" t="s">
        <v>366</v>
      </c>
      <c r="E539" s="2" t="s">
        <v>102</v>
      </c>
      <c r="F539" s="2">
        <v>7.9</v>
      </c>
      <c r="G539" s="2">
        <v>76</v>
      </c>
      <c r="H539" s="2" t="s">
        <v>1385</v>
      </c>
      <c r="I539" s="2" t="s">
        <v>1385</v>
      </c>
      <c r="J539" s="2">
        <v>37183</v>
      </c>
      <c r="K539" s="3">
        <v>61001</v>
      </c>
      <c r="L539">
        <f t="shared" si="16"/>
        <v>0</v>
      </c>
      <c r="N539">
        <f t="shared" si="17"/>
        <v>0</v>
      </c>
    </row>
    <row r="540" spans="1:14" ht="25.5">
      <c r="A540">
        <v>539</v>
      </c>
      <c r="B540" s="2" t="s">
        <v>1386</v>
      </c>
      <c r="C540" s="2">
        <v>1973</v>
      </c>
      <c r="D540" s="2" t="s">
        <v>308</v>
      </c>
      <c r="E540" s="2" t="s">
        <v>93</v>
      </c>
      <c r="F540" s="2">
        <v>7.9</v>
      </c>
      <c r="G540" s="4" t="s">
        <v>90</v>
      </c>
      <c r="H540" s="2" t="s">
        <v>848</v>
      </c>
      <c r="I540" s="2" t="s">
        <v>1387</v>
      </c>
      <c r="J540" s="2">
        <v>39897</v>
      </c>
      <c r="K540" s="4" t="s">
        <v>90</v>
      </c>
      <c r="L540">
        <f t="shared" si="16"/>
        <v>0</v>
      </c>
      <c r="N540">
        <f t="shared" si="17"/>
        <v>1</v>
      </c>
    </row>
    <row r="541" spans="1:14" ht="35.25">
      <c r="A541">
        <v>540</v>
      </c>
      <c r="B541" s="2" t="s">
        <v>1388</v>
      </c>
      <c r="C541" s="2">
        <v>1972</v>
      </c>
      <c r="D541" s="2" t="s">
        <v>198</v>
      </c>
      <c r="E541" s="2" t="s">
        <v>281</v>
      </c>
      <c r="F541" s="2">
        <v>7.9</v>
      </c>
      <c r="G541" s="2">
        <v>93</v>
      </c>
      <c r="H541" s="2" t="s">
        <v>828</v>
      </c>
      <c r="I541" s="2" t="s">
        <v>1389</v>
      </c>
      <c r="J541" s="2">
        <v>38737</v>
      </c>
      <c r="K541" s="3">
        <v>198809</v>
      </c>
      <c r="L541">
        <f t="shared" si="16"/>
        <v>0</v>
      </c>
      <c r="N541">
        <f t="shared" si="17"/>
        <v>0</v>
      </c>
    </row>
    <row r="542" spans="1:14" ht="25.5">
      <c r="A542">
        <v>541</v>
      </c>
      <c r="B542" s="2" t="s">
        <v>1390</v>
      </c>
      <c r="C542" s="2">
        <v>1972</v>
      </c>
      <c r="D542" s="2" t="s">
        <v>280</v>
      </c>
      <c r="E542" s="2" t="s">
        <v>27</v>
      </c>
      <c r="F542" s="2">
        <v>7.9</v>
      </c>
      <c r="G542" s="4" t="s">
        <v>90</v>
      </c>
      <c r="H542" s="2" t="s">
        <v>782</v>
      </c>
      <c r="I542" s="2" t="s">
        <v>783</v>
      </c>
      <c r="J542" s="2">
        <v>52397</v>
      </c>
      <c r="K542" s="4" t="s">
        <v>90</v>
      </c>
      <c r="L542">
        <f t="shared" si="16"/>
        <v>0</v>
      </c>
      <c r="N542">
        <f t="shared" si="17"/>
        <v>1</v>
      </c>
    </row>
    <row r="543" spans="1:14" ht="25.5">
      <c r="A543">
        <v>542</v>
      </c>
      <c r="B543" s="2" t="s">
        <v>1391</v>
      </c>
      <c r="C543" s="2">
        <v>1971</v>
      </c>
      <c r="D543" s="2" t="s">
        <v>542</v>
      </c>
      <c r="E543" s="2" t="s">
        <v>93</v>
      </c>
      <c r="F543" s="2">
        <v>7.9</v>
      </c>
      <c r="G543" s="2">
        <v>62</v>
      </c>
      <c r="H543" s="2" t="s">
        <v>1114</v>
      </c>
      <c r="I543" s="2" t="s">
        <v>1392</v>
      </c>
      <c r="J543" s="2">
        <v>70826</v>
      </c>
      <c r="K543" s="4" t="s">
        <v>90</v>
      </c>
      <c r="L543">
        <f t="shared" si="16"/>
        <v>0</v>
      </c>
      <c r="N543">
        <f t="shared" si="17"/>
        <v>1</v>
      </c>
    </row>
    <row r="544" spans="1:14" ht="23.25">
      <c r="A544">
        <v>543</v>
      </c>
      <c r="B544" s="2" t="s">
        <v>1393</v>
      </c>
      <c r="C544" s="2">
        <v>1970</v>
      </c>
      <c r="D544" s="2" t="s">
        <v>546</v>
      </c>
      <c r="E544" s="2" t="s">
        <v>47</v>
      </c>
      <c r="F544" s="2">
        <v>7.9</v>
      </c>
      <c r="G544" s="2">
        <v>91</v>
      </c>
      <c r="H544" s="2" t="s">
        <v>1124</v>
      </c>
      <c r="I544" s="2" t="s">
        <v>1394</v>
      </c>
      <c r="J544" s="2">
        <v>93741</v>
      </c>
      <c r="K544" s="3">
        <v>61700000</v>
      </c>
      <c r="L544">
        <f t="shared" si="16"/>
        <v>0</v>
      </c>
      <c r="N544">
        <f t="shared" si="17"/>
        <v>1</v>
      </c>
    </row>
    <row r="545" spans="1:14" ht="23.25">
      <c r="A545">
        <v>544</v>
      </c>
      <c r="B545" s="2" t="s">
        <v>1395</v>
      </c>
      <c r="C545" s="2">
        <v>1969</v>
      </c>
      <c r="D545" s="2" t="s">
        <v>596</v>
      </c>
      <c r="E545" s="2" t="s">
        <v>27</v>
      </c>
      <c r="F545" s="2">
        <v>7.9</v>
      </c>
      <c r="G545" s="2">
        <v>97</v>
      </c>
      <c r="H545" s="2" t="s">
        <v>1396</v>
      </c>
      <c r="I545" s="2" t="s">
        <v>290</v>
      </c>
      <c r="J545" s="2">
        <v>77401</v>
      </c>
      <c r="K545" s="3">
        <v>12064472</v>
      </c>
      <c r="L545">
        <f t="shared" si="16"/>
        <v>0</v>
      </c>
      <c r="N545">
        <f t="shared" si="17"/>
        <v>0</v>
      </c>
    </row>
    <row r="546" spans="1:14" ht="23.25">
      <c r="A546">
        <v>545</v>
      </c>
      <c r="B546" s="2" t="s">
        <v>1397</v>
      </c>
      <c r="C546" s="2">
        <v>1968</v>
      </c>
      <c r="D546" s="2" t="s">
        <v>34</v>
      </c>
      <c r="E546" s="2" t="s">
        <v>194</v>
      </c>
      <c r="F546" s="2">
        <v>7.9</v>
      </c>
      <c r="G546" s="2">
        <v>89</v>
      </c>
      <c r="H546" s="2" t="s">
        <v>1380</v>
      </c>
      <c r="I546" s="2" t="s">
        <v>1398</v>
      </c>
      <c r="J546" s="2">
        <v>116557</v>
      </c>
      <c r="K546" s="3">
        <v>89029</v>
      </c>
      <c r="L546">
        <f t="shared" si="16"/>
        <v>0</v>
      </c>
      <c r="N546">
        <f t="shared" si="17"/>
        <v>0</v>
      </c>
    </row>
    <row r="547" spans="1:14" ht="25.5">
      <c r="A547">
        <v>546</v>
      </c>
      <c r="B547" s="2" t="s">
        <v>1399</v>
      </c>
      <c r="C547" s="2">
        <v>1968</v>
      </c>
      <c r="D547" s="2" t="s">
        <v>261</v>
      </c>
      <c r="E547" s="2" t="s">
        <v>47</v>
      </c>
      <c r="F547" s="2">
        <v>7.9</v>
      </c>
      <c r="G547" s="4" t="s">
        <v>90</v>
      </c>
      <c r="H547" s="2" t="s">
        <v>1400</v>
      </c>
      <c r="I547" s="2" t="s">
        <v>379</v>
      </c>
      <c r="J547" s="2">
        <v>29003</v>
      </c>
      <c r="K547" s="3">
        <v>22276975</v>
      </c>
      <c r="L547">
        <f t="shared" si="16"/>
        <v>0</v>
      </c>
      <c r="N547">
        <f t="shared" si="17"/>
        <v>0</v>
      </c>
    </row>
    <row r="548" spans="1:14" ht="23.25">
      <c r="A548">
        <v>547</v>
      </c>
      <c r="B548" s="2" t="s">
        <v>1401</v>
      </c>
      <c r="C548" s="2">
        <v>1967</v>
      </c>
      <c r="D548" s="2" t="s">
        <v>170</v>
      </c>
      <c r="E548" s="2" t="s">
        <v>22</v>
      </c>
      <c r="F548" s="2">
        <v>7.9</v>
      </c>
      <c r="G548" s="2">
        <v>75</v>
      </c>
      <c r="H548" s="2" t="s">
        <v>1132</v>
      </c>
      <c r="I548" s="2" t="s">
        <v>1402</v>
      </c>
      <c r="J548" s="2">
        <v>67804</v>
      </c>
      <c r="K548" s="3">
        <v>24379978</v>
      </c>
      <c r="L548">
        <f t="shared" si="16"/>
        <v>0</v>
      </c>
      <c r="N548">
        <f t="shared" si="17"/>
        <v>0</v>
      </c>
    </row>
    <row r="549" spans="1:14" ht="23.25">
      <c r="A549">
        <v>548</v>
      </c>
      <c r="B549" s="2" t="s">
        <v>1403</v>
      </c>
      <c r="C549" s="2">
        <v>1963</v>
      </c>
      <c r="D549" s="2" t="s">
        <v>257</v>
      </c>
      <c r="E549" s="2" t="s">
        <v>93</v>
      </c>
      <c r="F549" s="2">
        <v>7.9</v>
      </c>
      <c r="G549" s="2">
        <v>83</v>
      </c>
      <c r="H549" s="2" t="s">
        <v>388</v>
      </c>
      <c r="I549" s="2" t="s">
        <v>383</v>
      </c>
      <c r="J549" s="2">
        <v>68689</v>
      </c>
      <c r="K549" s="3">
        <v>13474588</v>
      </c>
      <c r="L549">
        <f t="shared" si="16"/>
        <v>0</v>
      </c>
      <c r="N549">
        <f t="shared" si="17"/>
        <v>0</v>
      </c>
    </row>
    <row r="550" spans="1:14" ht="35.25">
      <c r="A550">
        <v>549</v>
      </c>
      <c r="B550" s="2" t="s">
        <v>1404</v>
      </c>
      <c r="C550" s="2">
        <v>1962</v>
      </c>
      <c r="D550" s="2" t="s">
        <v>206</v>
      </c>
      <c r="E550" s="2" t="s">
        <v>60</v>
      </c>
      <c r="F550" s="2">
        <v>7.9</v>
      </c>
      <c r="G550" s="2">
        <v>94</v>
      </c>
      <c r="H550" s="2" t="s">
        <v>1405</v>
      </c>
      <c r="I550" s="2" t="s">
        <v>1406</v>
      </c>
      <c r="J550" s="2">
        <v>71122</v>
      </c>
      <c r="K550" s="4" t="s">
        <v>90</v>
      </c>
      <c r="L550">
        <f t="shared" si="16"/>
        <v>0</v>
      </c>
      <c r="N550">
        <f t="shared" si="17"/>
        <v>1</v>
      </c>
    </row>
    <row r="551" spans="1:14" ht="23.25">
      <c r="A551">
        <v>550</v>
      </c>
      <c r="B551" s="2" t="s">
        <v>1407</v>
      </c>
      <c r="C551" s="2">
        <v>1960</v>
      </c>
      <c r="D551" s="2" t="s">
        <v>1149</v>
      </c>
      <c r="E551" s="2" t="s">
        <v>102</v>
      </c>
      <c r="F551" s="2">
        <v>7.9</v>
      </c>
      <c r="G551" s="2">
        <v>87</v>
      </c>
      <c r="H551" s="2" t="s">
        <v>269</v>
      </c>
      <c r="I551" s="2" t="s">
        <v>287</v>
      </c>
      <c r="J551" s="2">
        <v>124339</v>
      </c>
      <c r="K551" s="3">
        <v>30000000</v>
      </c>
      <c r="L551">
        <f t="shared" si="16"/>
        <v>0</v>
      </c>
      <c r="N551">
        <f t="shared" si="17"/>
        <v>0</v>
      </c>
    </row>
    <row r="552" spans="1:14" ht="25.5">
      <c r="A552">
        <v>551</v>
      </c>
      <c r="B552" s="2" t="s">
        <v>1408</v>
      </c>
      <c r="C552" s="2">
        <v>1960</v>
      </c>
      <c r="D552" s="2" t="s">
        <v>689</v>
      </c>
      <c r="E552" s="2" t="s">
        <v>60</v>
      </c>
      <c r="F552" s="2">
        <v>7.9</v>
      </c>
      <c r="G552" s="4" t="s">
        <v>90</v>
      </c>
      <c r="H552" s="2" t="s">
        <v>1409</v>
      </c>
      <c r="I552" s="2" t="s">
        <v>1410</v>
      </c>
      <c r="J552" s="2">
        <v>26542</v>
      </c>
      <c r="K552" s="4" t="s">
        <v>90</v>
      </c>
      <c r="L552">
        <f t="shared" si="16"/>
        <v>0</v>
      </c>
      <c r="N552">
        <f t="shared" si="17"/>
        <v>1</v>
      </c>
    </row>
    <row r="553" spans="1:14" ht="25.5">
      <c r="A553">
        <v>552</v>
      </c>
      <c r="B553" s="2" t="s">
        <v>1411</v>
      </c>
      <c r="C553" s="2">
        <v>1959</v>
      </c>
      <c r="D553" s="2" t="s">
        <v>1080</v>
      </c>
      <c r="E553" s="2" t="s">
        <v>60</v>
      </c>
      <c r="F553" s="2">
        <v>7.9</v>
      </c>
      <c r="G553" s="4" t="s">
        <v>90</v>
      </c>
      <c r="H553" s="2" t="s">
        <v>1412</v>
      </c>
      <c r="I553" s="2" t="s">
        <v>1413</v>
      </c>
      <c r="J553" s="2">
        <v>28421</v>
      </c>
      <c r="K553" s="3">
        <v>88300</v>
      </c>
      <c r="L553">
        <f t="shared" si="16"/>
        <v>0</v>
      </c>
      <c r="N553">
        <f t="shared" si="17"/>
        <v>0</v>
      </c>
    </row>
    <row r="554" spans="1:14" ht="35.25">
      <c r="A554">
        <v>553</v>
      </c>
      <c r="B554" s="2" t="s">
        <v>1414</v>
      </c>
      <c r="C554" s="2">
        <v>1956</v>
      </c>
      <c r="D554" s="2" t="s">
        <v>1415</v>
      </c>
      <c r="E554" s="2" t="s">
        <v>102</v>
      </c>
      <c r="F554" s="2">
        <v>7.9</v>
      </c>
      <c r="G554" s="4" t="s">
        <v>90</v>
      </c>
      <c r="H554" s="2" t="s">
        <v>1416</v>
      </c>
      <c r="I554" s="2" t="s">
        <v>845</v>
      </c>
      <c r="J554" s="2">
        <v>63560</v>
      </c>
      <c r="K554" s="3">
        <v>93740000</v>
      </c>
      <c r="L554">
        <f t="shared" si="16"/>
        <v>0</v>
      </c>
      <c r="N554">
        <f t="shared" si="17"/>
        <v>1</v>
      </c>
    </row>
    <row r="555" spans="1:14" ht="25.5">
      <c r="A555">
        <v>554</v>
      </c>
      <c r="B555" s="2" t="s">
        <v>1417</v>
      </c>
      <c r="C555" s="2">
        <v>1956</v>
      </c>
      <c r="D555" s="2" t="s">
        <v>163</v>
      </c>
      <c r="E555" s="2" t="s">
        <v>102</v>
      </c>
      <c r="F555" s="2">
        <v>7.9</v>
      </c>
      <c r="G555" s="2">
        <v>94</v>
      </c>
      <c r="H555" s="2" t="s">
        <v>834</v>
      </c>
      <c r="I555" s="2" t="s">
        <v>1163</v>
      </c>
      <c r="J555" s="2">
        <v>80316</v>
      </c>
      <c r="K555" s="4" t="s">
        <v>90</v>
      </c>
      <c r="L555">
        <f t="shared" si="16"/>
        <v>0</v>
      </c>
      <c r="N555">
        <f t="shared" si="17"/>
        <v>1</v>
      </c>
    </row>
    <row r="556" spans="1:14" ht="25.5">
      <c r="A556">
        <v>555</v>
      </c>
      <c r="B556" s="2" t="s">
        <v>1418</v>
      </c>
      <c r="C556" s="2">
        <v>1955</v>
      </c>
      <c r="D556" s="2" t="s">
        <v>123</v>
      </c>
      <c r="E556" s="2" t="s">
        <v>17</v>
      </c>
      <c r="F556" s="2">
        <v>7.9</v>
      </c>
      <c r="G556" s="2">
        <v>72</v>
      </c>
      <c r="H556" s="2" t="s">
        <v>853</v>
      </c>
      <c r="I556" s="2" t="s">
        <v>1419</v>
      </c>
      <c r="J556" s="2">
        <v>40313</v>
      </c>
      <c r="K556" s="4" t="s">
        <v>90</v>
      </c>
      <c r="L556">
        <f t="shared" si="16"/>
        <v>0</v>
      </c>
      <c r="N556">
        <f t="shared" si="17"/>
        <v>1</v>
      </c>
    </row>
    <row r="557" spans="1:14" ht="23.25">
      <c r="A557">
        <v>556</v>
      </c>
      <c r="B557" s="2" t="s">
        <v>1420</v>
      </c>
      <c r="C557" s="2">
        <v>1952</v>
      </c>
      <c r="D557" s="2" t="s">
        <v>819</v>
      </c>
      <c r="E557" s="2" t="s">
        <v>60</v>
      </c>
      <c r="F557" s="2">
        <v>7.9</v>
      </c>
      <c r="G557" s="2">
        <v>89</v>
      </c>
      <c r="H557" s="2" t="s">
        <v>1421</v>
      </c>
      <c r="I557" s="2" t="s">
        <v>1422</v>
      </c>
      <c r="J557" s="2">
        <v>97222</v>
      </c>
      <c r="K557" s="3">
        <v>9450000</v>
      </c>
      <c r="L557">
        <f t="shared" si="16"/>
        <v>0</v>
      </c>
      <c r="N557">
        <f t="shared" si="17"/>
        <v>0</v>
      </c>
    </row>
    <row r="558" spans="1:14" ht="23.25">
      <c r="A558">
        <v>557</v>
      </c>
      <c r="B558" s="2" t="s">
        <v>1423</v>
      </c>
      <c r="C558" s="2">
        <v>1951</v>
      </c>
      <c r="D558" s="2" t="s">
        <v>253</v>
      </c>
      <c r="E558" s="2" t="s">
        <v>22</v>
      </c>
      <c r="F558" s="2">
        <v>7.9</v>
      </c>
      <c r="G558" s="2">
        <v>88</v>
      </c>
      <c r="H558" s="2" t="s">
        <v>195</v>
      </c>
      <c r="I558" s="2" t="s">
        <v>1424</v>
      </c>
      <c r="J558" s="2">
        <v>123341</v>
      </c>
      <c r="K558" s="3">
        <v>7630000</v>
      </c>
      <c r="L558">
        <f t="shared" si="16"/>
        <v>0</v>
      </c>
      <c r="N558">
        <f t="shared" si="17"/>
        <v>0</v>
      </c>
    </row>
    <row r="559" spans="1:14" ht="25.5">
      <c r="A559">
        <v>558</v>
      </c>
      <c r="B559" s="2" t="s">
        <v>1425</v>
      </c>
      <c r="C559" s="2">
        <v>1950</v>
      </c>
      <c r="D559" s="2" t="s">
        <v>295</v>
      </c>
      <c r="E559" s="2" t="s">
        <v>93</v>
      </c>
      <c r="F559" s="2">
        <v>7.9</v>
      </c>
      <c r="G559" s="4" t="s">
        <v>90</v>
      </c>
      <c r="H559" s="2" t="s">
        <v>1426</v>
      </c>
      <c r="I559" s="2" t="s">
        <v>138</v>
      </c>
      <c r="J559" s="2">
        <v>52573</v>
      </c>
      <c r="K559" s="4" t="s">
        <v>90</v>
      </c>
      <c r="L559">
        <f t="shared" si="16"/>
        <v>0</v>
      </c>
      <c r="N559">
        <f t="shared" si="17"/>
        <v>1</v>
      </c>
    </row>
    <row r="560" spans="1:14" ht="23.25">
      <c r="A560">
        <v>559</v>
      </c>
      <c r="B560" s="2" t="s">
        <v>1427</v>
      </c>
      <c r="C560" s="2">
        <v>1947</v>
      </c>
      <c r="D560" s="2" t="s">
        <v>34</v>
      </c>
      <c r="E560" s="2" t="s">
        <v>93</v>
      </c>
      <c r="F560" s="2">
        <v>7.9</v>
      </c>
      <c r="G560" s="2">
        <v>88</v>
      </c>
      <c r="H560" s="2" t="s">
        <v>1428</v>
      </c>
      <c r="I560" s="2" t="s">
        <v>1429</v>
      </c>
      <c r="J560" s="2">
        <v>41625</v>
      </c>
      <c r="K560" s="3">
        <v>2650000</v>
      </c>
      <c r="L560">
        <f t="shared" si="16"/>
        <v>0</v>
      </c>
      <c r="N560">
        <f t="shared" si="17"/>
        <v>0</v>
      </c>
    </row>
    <row r="561" spans="1:14" ht="23.25">
      <c r="A561">
        <v>560</v>
      </c>
      <c r="B561" s="2" t="s">
        <v>1430</v>
      </c>
      <c r="C561" s="2">
        <v>1946</v>
      </c>
      <c r="D561" s="2" t="s">
        <v>198</v>
      </c>
      <c r="E561" s="2" t="s">
        <v>60</v>
      </c>
      <c r="F561" s="2">
        <v>7.9</v>
      </c>
      <c r="G561" s="2">
        <v>100</v>
      </c>
      <c r="H561" s="2" t="s">
        <v>195</v>
      </c>
      <c r="I561" s="2" t="s">
        <v>383</v>
      </c>
      <c r="J561" s="2">
        <v>92306</v>
      </c>
      <c r="K561" s="3">
        <v>10464000</v>
      </c>
      <c r="L561">
        <f t="shared" si="16"/>
        <v>0</v>
      </c>
      <c r="N561">
        <f t="shared" si="17"/>
        <v>0</v>
      </c>
    </row>
    <row r="562" spans="1:14" ht="25.5">
      <c r="A562">
        <v>561</v>
      </c>
      <c r="B562" s="2" t="s">
        <v>1431</v>
      </c>
      <c r="C562" s="2">
        <v>1946</v>
      </c>
      <c r="D562" s="2" t="s">
        <v>366</v>
      </c>
      <c r="E562" s="2" t="s">
        <v>22</v>
      </c>
      <c r="F562" s="2">
        <v>7.9</v>
      </c>
      <c r="G562" s="4" t="s">
        <v>90</v>
      </c>
      <c r="H562" s="2" t="s">
        <v>1162</v>
      </c>
      <c r="I562" s="2" t="s">
        <v>200</v>
      </c>
      <c r="J562" s="2">
        <v>78796</v>
      </c>
      <c r="K562" s="3">
        <v>6540000</v>
      </c>
      <c r="L562">
        <f t="shared" si="16"/>
        <v>0</v>
      </c>
      <c r="N562">
        <f t="shared" si="17"/>
        <v>0</v>
      </c>
    </row>
    <row r="563" spans="1:14" ht="25.5">
      <c r="A563">
        <v>562</v>
      </c>
      <c r="B563" s="2" t="s">
        <v>1432</v>
      </c>
      <c r="C563" s="2">
        <v>1945</v>
      </c>
      <c r="D563" s="2" t="s">
        <v>253</v>
      </c>
      <c r="E563" s="2" t="s">
        <v>60</v>
      </c>
      <c r="F563" s="2">
        <v>7.9</v>
      </c>
      <c r="G563" s="4" t="s">
        <v>90</v>
      </c>
      <c r="H563" s="2" t="s">
        <v>284</v>
      </c>
      <c r="I563" s="2" t="s">
        <v>566</v>
      </c>
      <c r="J563" s="2">
        <v>33549</v>
      </c>
      <c r="K563" s="3">
        <v>9460000</v>
      </c>
      <c r="L563">
        <f t="shared" si="16"/>
        <v>0</v>
      </c>
      <c r="N563">
        <f t="shared" si="17"/>
        <v>0</v>
      </c>
    </row>
    <row r="564" spans="1:14" ht="35.25">
      <c r="A564">
        <v>563</v>
      </c>
      <c r="B564" s="2" t="s">
        <v>1433</v>
      </c>
      <c r="C564" s="2">
        <v>1940</v>
      </c>
      <c r="D564" s="2" t="s">
        <v>148</v>
      </c>
      <c r="E564" s="2" t="s">
        <v>93</v>
      </c>
      <c r="F564" s="2">
        <v>7.9</v>
      </c>
      <c r="G564" s="2">
        <v>96</v>
      </c>
      <c r="H564" s="2" t="s">
        <v>875</v>
      </c>
      <c r="I564" s="2" t="s">
        <v>383</v>
      </c>
      <c r="J564" s="2">
        <v>63550</v>
      </c>
      <c r="K564" s="4" t="s">
        <v>90</v>
      </c>
      <c r="L564">
        <f t="shared" si="16"/>
        <v>0</v>
      </c>
      <c r="N564">
        <f t="shared" si="17"/>
        <v>1</v>
      </c>
    </row>
    <row r="565" spans="1:14" ht="25.5">
      <c r="A565">
        <v>564</v>
      </c>
      <c r="B565" s="2" t="s">
        <v>1434</v>
      </c>
      <c r="C565" s="2">
        <v>1940</v>
      </c>
      <c r="D565" s="2" t="s">
        <v>676</v>
      </c>
      <c r="E565" s="2" t="s">
        <v>93</v>
      </c>
      <c r="F565" s="2">
        <v>7.9</v>
      </c>
      <c r="G565" s="4" t="s">
        <v>90</v>
      </c>
      <c r="H565" s="2" t="s">
        <v>1162</v>
      </c>
      <c r="I565" s="2" t="s">
        <v>383</v>
      </c>
      <c r="J565" s="2">
        <v>53667</v>
      </c>
      <c r="K565" s="3">
        <v>296000</v>
      </c>
      <c r="L565">
        <f t="shared" si="16"/>
        <v>0</v>
      </c>
      <c r="N565">
        <f t="shared" si="17"/>
        <v>0</v>
      </c>
    </row>
    <row r="566" spans="1:14" ht="23.25">
      <c r="A566">
        <v>565</v>
      </c>
      <c r="B566" s="2" t="s">
        <v>1435</v>
      </c>
      <c r="C566" s="2">
        <v>1938</v>
      </c>
      <c r="D566" s="2" t="s">
        <v>198</v>
      </c>
      <c r="E566" s="2" t="s">
        <v>27</v>
      </c>
      <c r="F566" s="2">
        <v>7.9</v>
      </c>
      <c r="G566" s="2">
        <v>97</v>
      </c>
      <c r="H566" s="2" t="s">
        <v>199</v>
      </c>
      <c r="I566" s="2" t="s">
        <v>1436</v>
      </c>
      <c r="J566" s="2">
        <v>47175</v>
      </c>
      <c r="K566" s="3">
        <v>3981000</v>
      </c>
      <c r="L566">
        <f t="shared" si="16"/>
        <v>0</v>
      </c>
      <c r="N566">
        <f t="shared" si="17"/>
        <v>0</v>
      </c>
    </row>
    <row r="567" spans="1:14" ht="25.5">
      <c r="A567">
        <v>566</v>
      </c>
      <c r="B567" s="2" t="s">
        <v>1437</v>
      </c>
      <c r="C567" s="2">
        <v>1935</v>
      </c>
      <c r="D567" s="2" t="s">
        <v>34</v>
      </c>
      <c r="E567" s="2" t="s">
        <v>93</v>
      </c>
      <c r="F567" s="2">
        <v>7.9</v>
      </c>
      <c r="G567" s="4" t="s">
        <v>90</v>
      </c>
      <c r="H567" s="2" t="s">
        <v>1438</v>
      </c>
      <c r="I567" s="2" t="s">
        <v>1439</v>
      </c>
      <c r="J567" s="2">
        <v>30580</v>
      </c>
      <c r="K567" s="3">
        <v>2537520</v>
      </c>
      <c r="L567">
        <f t="shared" si="16"/>
        <v>0</v>
      </c>
      <c r="N567">
        <f t="shared" si="17"/>
        <v>0</v>
      </c>
    </row>
    <row r="568" spans="1:14" ht="23.25">
      <c r="A568">
        <v>567</v>
      </c>
      <c r="B568" s="2" t="s">
        <v>1440</v>
      </c>
      <c r="C568" s="2">
        <v>1933</v>
      </c>
      <c r="D568" s="2" t="s">
        <v>614</v>
      </c>
      <c r="E568" s="2" t="s">
        <v>102</v>
      </c>
      <c r="F568" s="2">
        <v>7.9</v>
      </c>
      <c r="G568" s="2">
        <v>90</v>
      </c>
      <c r="H568" s="2" t="s">
        <v>1441</v>
      </c>
      <c r="I568" s="2" t="s">
        <v>1442</v>
      </c>
      <c r="J568" s="2">
        <v>78991</v>
      </c>
      <c r="K568" s="3">
        <v>10000000</v>
      </c>
      <c r="L568">
        <f t="shared" si="16"/>
        <v>0</v>
      </c>
      <c r="N568">
        <f t="shared" si="17"/>
        <v>0</v>
      </c>
    </row>
    <row r="569" spans="1:14" ht="25.5">
      <c r="A569">
        <v>568</v>
      </c>
      <c r="B569" s="2" t="s">
        <v>1443</v>
      </c>
      <c r="C569" s="2">
        <v>1932</v>
      </c>
      <c r="D569" s="2" t="s">
        <v>1444</v>
      </c>
      <c r="E569" s="2" t="s">
        <v>60</v>
      </c>
      <c r="F569" s="2">
        <v>7.9</v>
      </c>
      <c r="G569" s="2">
        <v>80</v>
      </c>
      <c r="H569" s="2" t="s">
        <v>1445</v>
      </c>
      <c r="I569" s="2" t="s">
        <v>1446</v>
      </c>
      <c r="J569" s="2">
        <v>42117</v>
      </c>
      <c r="K569" s="4" t="s">
        <v>90</v>
      </c>
      <c r="L569">
        <f t="shared" si="16"/>
        <v>0</v>
      </c>
      <c r="N569">
        <f t="shared" si="17"/>
        <v>1</v>
      </c>
    </row>
    <row r="570" spans="1:14" ht="25.5">
      <c r="A570">
        <v>569</v>
      </c>
      <c r="B570" s="2" t="s">
        <v>1447</v>
      </c>
      <c r="C570" s="2">
        <v>1922</v>
      </c>
      <c r="D570" s="2" t="s">
        <v>792</v>
      </c>
      <c r="E570" s="2" t="s">
        <v>894</v>
      </c>
      <c r="F570" s="2">
        <v>7.9</v>
      </c>
      <c r="G570" s="4" t="s">
        <v>90</v>
      </c>
      <c r="H570" s="2" t="s">
        <v>887</v>
      </c>
      <c r="I570" s="2" t="s">
        <v>1448</v>
      </c>
      <c r="J570" s="2">
        <v>88794</v>
      </c>
      <c r="K570" s="4" t="s">
        <v>90</v>
      </c>
      <c r="L570">
        <f t="shared" si="16"/>
        <v>0</v>
      </c>
      <c r="N570">
        <f t="shared" si="17"/>
        <v>1</v>
      </c>
    </row>
    <row r="571" spans="1:14" ht="35.25">
      <c r="A571">
        <v>570</v>
      </c>
      <c r="B571" s="2" t="s">
        <v>1449</v>
      </c>
      <c r="C571" s="2">
        <v>2019</v>
      </c>
      <c r="D571" s="2" t="s">
        <v>257</v>
      </c>
      <c r="E571" s="2" t="s">
        <v>27</v>
      </c>
      <c r="F571" s="2">
        <v>7.8</v>
      </c>
      <c r="G571" s="2">
        <v>51</v>
      </c>
      <c r="H571" s="2" t="s">
        <v>330</v>
      </c>
      <c r="I571" s="2" t="s">
        <v>103</v>
      </c>
      <c r="J571" s="2">
        <v>237392</v>
      </c>
      <c r="K571" s="4" t="s">
        <v>90</v>
      </c>
      <c r="L571">
        <f t="shared" si="16"/>
        <v>0</v>
      </c>
      <c r="N571">
        <f t="shared" si="17"/>
        <v>1</v>
      </c>
    </row>
    <row r="572" spans="1:14" ht="25.5">
      <c r="A572">
        <v>571</v>
      </c>
      <c r="B572" s="2" t="s">
        <v>1450</v>
      </c>
      <c r="C572" s="2">
        <v>2018</v>
      </c>
      <c r="D572" s="2" t="s">
        <v>410</v>
      </c>
      <c r="E572" s="2" t="s">
        <v>27</v>
      </c>
      <c r="F572" s="2">
        <v>7.8</v>
      </c>
      <c r="G572" s="4" t="s">
        <v>90</v>
      </c>
      <c r="H572" s="2" t="s">
        <v>424</v>
      </c>
      <c r="I572" s="2" t="s">
        <v>1451</v>
      </c>
      <c r="J572" s="2">
        <v>25344</v>
      </c>
      <c r="K572" s="4" t="s">
        <v>90</v>
      </c>
      <c r="L572">
        <f t="shared" si="16"/>
        <v>0</v>
      </c>
      <c r="N572">
        <f t="shared" si="17"/>
        <v>1</v>
      </c>
    </row>
    <row r="573" spans="1:14" ht="25.5">
      <c r="A573">
        <v>572</v>
      </c>
      <c r="B573" s="2" t="s">
        <v>1452</v>
      </c>
      <c r="C573" s="2">
        <v>2019</v>
      </c>
      <c r="D573" s="2" t="s">
        <v>660</v>
      </c>
      <c r="E573" s="2" t="s">
        <v>60</v>
      </c>
      <c r="F573" s="2">
        <v>7.8</v>
      </c>
      <c r="G573" s="2">
        <v>81</v>
      </c>
      <c r="H573" s="2" t="s">
        <v>1453</v>
      </c>
      <c r="I573" s="2" t="s">
        <v>1454</v>
      </c>
      <c r="J573" s="2">
        <v>27187</v>
      </c>
      <c r="K573" s="4" t="s">
        <v>90</v>
      </c>
      <c r="L573">
        <f t="shared" si="16"/>
        <v>0</v>
      </c>
      <c r="N573">
        <f t="shared" si="17"/>
        <v>1</v>
      </c>
    </row>
    <row r="574" spans="1:14" ht="23.25">
      <c r="A574">
        <v>573</v>
      </c>
      <c r="B574" s="2" t="s">
        <v>1455</v>
      </c>
      <c r="C574" s="2">
        <v>2016</v>
      </c>
      <c r="D574" s="2" t="s">
        <v>79</v>
      </c>
      <c r="E574" s="2" t="s">
        <v>17</v>
      </c>
      <c r="F574" s="2">
        <v>7.8</v>
      </c>
      <c r="G574" s="2">
        <v>85</v>
      </c>
      <c r="H574" s="2" t="s">
        <v>309</v>
      </c>
      <c r="I574" s="2" t="s">
        <v>1456</v>
      </c>
      <c r="J574" s="2">
        <v>51240</v>
      </c>
      <c r="K574" s="3">
        <v>2402067</v>
      </c>
      <c r="L574">
        <f t="shared" si="16"/>
        <v>0</v>
      </c>
      <c r="N574">
        <f t="shared" si="17"/>
        <v>0</v>
      </c>
    </row>
    <row r="575" spans="1:14" ht="23.25">
      <c r="A575">
        <v>574</v>
      </c>
      <c r="B575" s="2" t="s">
        <v>1457</v>
      </c>
      <c r="C575" s="2">
        <v>2017</v>
      </c>
      <c r="D575" s="2" t="s">
        <v>144</v>
      </c>
      <c r="E575" s="2" t="s">
        <v>27</v>
      </c>
      <c r="F575" s="2">
        <v>7.8</v>
      </c>
      <c r="G575" s="2">
        <v>94</v>
      </c>
      <c r="H575" s="2" t="s">
        <v>28</v>
      </c>
      <c r="I575" s="2" t="s">
        <v>1458</v>
      </c>
      <c r="J575" s="2">
        <v>555092</v>
      </c>
      <c r="K575" s="3">
        <v>188373161</v>
      </c>
      <c r="L575">
        <f t="shared" si="16"/>
        <v>0</v>
      </c>
      <c r="N575">
        <f t="shared" si="17"/>
        <v>1</v>
      </c>
    </row>
    <row r="576" spans="1:14" ht="25.5">
      <c r="A576">
        <v>575</v>
      </c>
      <c r="B576" s="2" t="s">
        <v>1459</v>
      </c>
      <c r="C576" s="2">
        <v>2016</v>
      </c>
      <c r="D576" s="2" t="s">
        <v>34</v>
      </c>
      <c r="E576" s="2" t="s">
        <v>93</v>
      </c>
      <c r="F576" s="2">
        <v>7.8</v>
      </c>
      <c r="G576" s="4" t="s">
        <v>90</v>
      </c>
      <c r="H576" s="2" t="s">
        <v>1460</v>
      </c>
      <c r="I576" s="2" t="s">
        <v>1461</v>
      </c>
      <c r="J576" s="2">
        <v>57168</v>
      </c>
      <c r="K576" s="4" t="s">
        <v>90</v>
      </c>
      <c r="L576">
        <f t="shared" si="16"/>
        <v>0</v>
      </c>
      <c r="N576">
        <f t="shared" si="17"/>
        <v>1</v>
      </c>
    </row>
    <row r="577" spans="1:14" ht="23.25">
      <c r="A577">
        <v>576</v>
      </c>
      <c r="B577" s="2" t="s">
        <v>1462</v>
      </c>
      <c r="C577" s="2">
        <v>2016</v>
      </c>
      <c r="D577" s="2" t="s">
        <v>120</v>
      </c>
      <c r="E577" s="2" t="s">
        <v>47</v>
      </c>
      <c r="F577" s="2">
        <v>7.8</v>
      </c>
      <c r="G577" s="2">
        <v>74</v>
      </c>
      <c r="H577" s="2" t="s">
        <v>1463</v>
      </c>
      <c r="I577" s="2" t="s">
        <v>1464</v>
      </c>
      <c r="J577" s="2">
        <v>200876</v>
      </c>
      <c r="K577" s="3">
        <v>169607287</v>
      </c>
      <c r="L577">
        <f t="shared" si="16"/>
        <v>0</v>
      </c>
      <c r="N577">
        <f t="shared" si="17"/>
        <v>1</v>
      </c>
    </row>
    <row r="578" spans="1:14" ht="23.25">
      <c r="A578">
        <v>577</v>
      </c>
      <c r="B578" s="2" t="s">
        <v>1465</v>
      </c>
      <c r="C578" s="2">
        <v>2017</v>
      </c>
      <c r="D578" s="2" t="s">
        <v>387</v>
      </c>
      <c r="E578" s="2" t="s">
        <v>102</v>
      </c>
      <c r="F578" s="2">
        <v>7.8</v>
      </c>
      <c r="G578" s="2">
        <v>88</v>
      </c>
      <c r="H578" s="2" t="s">
        <v>1466</v>
      </c>
      <c r="I578" s="2" t="s">
        <v>1467</v>
      </c>
      <c r="J578" s="2">
        <v>61594</v>
      </c>
      <c r="K578" s="3">
        <v>40442052</v>
      </c>
      <c r="L578">
        <f t="shared" si="16"/>
        <v>0</v>
      </c>
      <c r="N578">
        <f t="shared" si="17"/>
        <v>0</v>
      </c>
    </row>
    <row r="579" spans="1:14" ht="25.5">
      <c r="A579">
        <v>578</v>
      </c>
      <c r="B579" s="2" t="s">
        <v>1468</v>
      </c>
      <c r="C579" s="2">
        <v>2016</v>
      </c>
      <c r="D579" s="2" t="s">
        <v>51</v>
      </c>
      <c r="E579" s="2" t="s">
        <v>27</v>
      </c>
      <c r="F579" s="2">
        <v>7.8</v>
      </c>
      <c r="G579" s="4" t="s">
        <v>90</v>
      </c>
      <c r="H579" s="2" t="s">
        <v>1469</v>
      </c>
      <c r="I579" s="2" t="s">
        <v>603</v>
      </c>
      <c r="J579" s="2">
        <v>27175</v>
      </c>
      <c r="K579" s="4" t="s">
        <v>90</v>
      </c>
      <c r="L579">
        <f t="shared" ref="L579:L642" si="18">IF(AND(F579&gt;=8.2, G579&gt;8.2), 1, 0)</f>
        <v>0</v>
      </c>
      <c r="N579">
        <f t="shared" ref="N579:N642" si="19">IF(K579&gt;=50000000, 1, 0)</f>
        <v>1</v>
      </c>
    </row>
    <row r="580" spans="1:14" ht="23.25">
      <c r="A580">
        <v>579</v>
      </c>
      <c r="B580" s="2" t="s">
        <v>1470</v>
      </c>
      <c r="C580" s="2">
        <v>2016</v>
      </c>
      <c r="D580" s="2" t="s">
        <v>253</v>
      </c>
      <c r="E580" s="2" t="s">
        <v>110</v>
      </c>
      <c r="F580" s="2">
        <v>7.8</v>
      </c>
      <c r="G580" s="2">
        <v>84</v>
      </c>
      <c r="H580" s="2" t="s">
        <v>1471</v>
      </c>
      <c r="I580" s="2" t="s">
        <v>1472</v>
      </c>
      <c r="J580" s="2">
        <v>118035</v>
      </c>
      <c r="K580" s="3">
        <v>48023088</v>
      </c>
      <c r="L580">
        <f t="shared" si="18"/>
        <v>0</v>
      </c>
      <c r="N580">
        <f t="shared" si="19"/>
        <v>0</v>
      </c>
    </row>
    <row r="581" spans="1:14" ht="35.25">
      <c r="A581">
        <v>580</v>
      </c>
      <c r="B581" s="2" t="s">
        <v>1473</v>
      </c>
      <c r="C581" s="2">
        <v>2016</v>
      </c>
      <c r="D581" s="2" t="s">
        <v>1474</v>
      </c>
      <c r="E581" s="2" t="s">
        <v>47</v>
      </c>
      <c r="F581" s="2">
        <v>7.8</v>
      </c>
      <c r="G581" s="4" t="s">
        <v>90</v>
      </c>
      <c r="H581" s="2" t="s">
        <v>663</v>
      </c>
      <c r="I581" s="2" t="s">
        <v>408</v>
      </c>
      <c r="J581" s="2">
        <v>40416</v>
      </c>
      <c r="K581" s="3">
        <v>1782795</v>
      </c>
      <c r="L581">
        <f t="shared" si="18"/>
        <v>0</v>
      </c>
      <c r="N581">
        <f t="shared" si="19"/>
        <v>0</v>
      </c>
    </row>
    <row r="582" spans="1:14" ht="23.25">
      <c r="A582">
        <v>581</v>
      </c>
      <c r="B582" s="2" t="s">
        <v>1475</v>
      </c>
      <c r="C582" s="2">
        <v>2016</v>
      </c>
      <c r="D582" s="2" t="s">
        <v>178</v>
      </c>
      <c r="E582" s="2" t="s">
        <v>17</v>
      </c>
      <c r="F582" s="2">
        <v>7.8</v>
      </c>
      <c r="G582" s="2">
        <v>96</v>
      </c>
      <c r="H582" s="2" t="s">
        <v>1476</v>
      </c>
      <c r="I582" s="2" t="s">
        <v>1477</v>
      </c>
      <c r="J582" s="2">
        <v>246963</v>
      </c>
      <c r="K582" s="3">
        <v>47695120</v>
      </c>
      <c r="L582">
        <f t="shared" si="18"/>
        <v>0</v>
      </c>
      <c r="N582">
        <f t="shared" si="19"/>
        <v>0</v>
      </c>
    </row>
    <row r="583" spans="1:14" ht="23.25">
      <c r="A583">
        <v>582</v>
      </c>
      <c r="B583" s="2" t="s">
        <v>1478</v>
      </c>
      <c r="C583" s="2">
        <v>2015</v>
      </c>
      <c r="D583" s="2" t="s">
        <v>614</v>
      </c>
      <c r="E583" s="2" t="s">
        <v>60</v>
      </c>
      <c r="F583" s="2">
        <v>7.8</v>
      </c>
      <c r="G583" s="2">
        <v>75</v>
      </c>
      <c r="H583" s="2" t="s">
        <v>1479</v>
      </c>
      <c r="I583" s="2" t="s">
        <v>1480</v>
      </c>
      <c r="J583" s="2">
        <v>35539</v>
      </c>
      <c r="K583" s="3">
        <v>435266</v>
      </c>
      <c r="L583">
        <f t="shared" si="18"/>
        <v>0</v>
      </c>
      <c r="N583">
        <f t="shared" si="19"/>
        <v>0</v>
      </c>
    </row>
    <row r="584" spans="1:14" ht="23.25">
      <c r="A584">
        <v>583</v>
      </c>
      <c r="B584" s="2" t="s">
        <v>1481</v>
      </c>
      <c r="C584" s="2">
        <v>2016</v>
      </c>
      <c r="D584" s="2" t="s">
        <v>83</v>
      </c>
      <c r="E584" s="2" t="s">
        <v>27</v>
      </c>
      <c r="F584" s="2">
        <v>7.8</v>
      </c>
      <c r="G584" s="2">
        <v>65</v>
      </c>
      <c r="H584" s="2" t="s">
        <v>1482</v>
      </c>
      <c r="I584" s="2" t="s">
        <v>1483</v>
      </c>
      <c r="J584" s="2">
        <v>556608</v>
      </c>
      <c r="K584" s="3">
        <v>532177324</v>
      </c>
      <c r="L584">
        <f t="shared" si="18"/>
        <v>0</v>
      </c>
      <c r="N584">
        <f t="shared" si="19"/>
        <v>1</v>
      </c>
    </row>
    <row r="585" spans="1:14" ht="35.25">
      <c r="A585">
        <v>584</v>
      </c>
      <c r="B585" s="2" t="s">
        <v>1484</v>
      </c>
      <c r="C585" s="2">
        <v>2016</v>
      </c>
      <c r="D585" s="2" t="s">
        <v>213</v>
      </c>
      <c r="E585" s="2" t="s">
        <v>27</v>
      </c>
      <c r="F585" s="2">
        <v>7.8</v>
      </c>
      <c r="G585" s="2">
        <v>75</v>
      </c>
      <c r="H585" s="2" t="s">
        <v>228</v>
      </c>
      <c r="I585" s="2" t="s">
        <v>229</v>
      </c>
      <c r="J585" s="2">
        <v>663649</v>
      </c>
      <c r="K585" s="3">
        <v>408084349</v>
      </c>
      <c r="L585">
        <f t="shared" si="18"/>
        <v>0</v>
      </c>
      <c r="N585">
        <f t="shared" si="19"/>
        <v>1</v>
      </c>
    </row>
    <row r="586" spans="1:14" ht="23.25">
      <c r="A586">
        <v>585</v>
      </c>
      <c r="B586" s="2" t="s">
        <v>1485</v>
      </c>
      <c r="C586" s="2">
        <v>2015</v>
      </c>
      <c r="D586" s="2" t="s">
        <v>1486</v>
      </c>
      <c r="E586" s="2" t="s">
        <v>22</v>
      </c>
      <c r="F586" s="2">
        <v>7.8</v>
      </c>
      <c r="G586" s="2">
        <v>68</v>
      </c>
      <c r="H586" s="2" t="s">
        <v>43</v>
      </c>
      <c r="I586" s="2" t="s">
        <v>1487</v>
      </c>
      <c r="J586" s="2">
        <v>517059</v>
      </c>
      <c r="K586" s="3">
        <v>54117416</v>
      </c>
      <c r="L586">
        <f t="shared" si="18"/>
        <v>0</v>
      </c>
      <c r="N586">
        <f t="shared" si="19"/>
        <v>1</v>
      </c>
    </row>
    <row r="587" spans="1:14" ht="23.25">
      <c r="A587">
        <v>586</v>
      </c>
      <c r="B587" s="2" t="s">
        <v>1488</v>
      </c>
      <c r="C587" s="2">
        <v>2019</v>
      </c>
      <c r="D587" s="2" t="s">
        <v>454</v>
      </c>
      <c r="E587" s="2" t="s">
        <v>60</v>
      </c>
      <c r="F587" s="2">
        <v>7.8</v>
      </c>
      <c r="G587" s="2">
        <v>91</v>
      </c>
      <c r="H587" s="2" t="s">
        <v>1489</v>
      </c>
      <c r="I587" s="2" t="s">
        <v>1490</v>
      </c>
      <c r="J587" s="2">
        <v>143250</v>
      </c>
      <c r="K587" s="3">
        <v>108101214</v>
      </c>
      <c r="L587">
        <f t="shared" si="18"/>
        <v>0</v>
      </c>
      <c r="N587">
        <f t="shared" si="19"/>
        <v>1</v>
      </c>
    </row>
    <row r="588" spans="1:14" ht="23.25">
      <c r="A588">
        <v>587</v>
      </c>
      <c r="B588" s="2" t="s">
        <v>1491</v>
      </c>
      <c r="C588" s="2">
        <v>2017</v>
      </c>
      <c r="D588" s="2" t="s">
        <v>792</v>
      </c>
      <c r="E588" s="2" t="s">
        <v>110</v>
      </c>
      <c r="F588" s="2">
        <v>7.8</v>
      </c>
      <c r="G588" s="2">
        <v>62</v>
      </c>
      <c r="H588" s="2" t="s">
        <v>1492</v>
      </c>
      <c r="I588" s="2" t="s">
        <v>1493</v>
      </c>
      <c r="J588" s="2">
        <v>50778</v>
      </c>
      <c r="K588" s="3">
        <v>6735118</v>
      </c>
      <c r="L588">
        <f t="shared" si="18"/>
        <v>0</v>
      </c>
      <c r="N588">
        <f t="shared" si="19"/>
        <v>0</v>
      </c>
    </row>
    <row r="589" spans="1:14" ht="25.5">
      <c r="A589">
        <v>588</v>
      </c>
      <c r="B589" s="2" t="s">
        <v>1494</v>
      </c>
      <c r="C589" s="2">
        <v>2014</v>
      </c>
      <c r="D589" s="2" t="s">
        <v>163</v>
      </c>
      <c r="E589" s="2" t="s">
        <v>47</v>
      </c>
      <c r="F589" s="2">
        <v>7.8</v>
      </c>
      <c r="G589" s="2">
        <v>79</v>
      </c>
      <c r="H589" s="2" t="s">
        <v>1495</v>
      </c>
      <c r="I589" s="2" t="s">
        <v>1496</v>
      </c>
      <c r="J589" s="2">
        <v>51841</v>
      </c>
      <c r="K589" s="4" t="s">
        <v>90</v>
      </c>
      <c r="L589">
        <f t="shared" si="18"/>
        <v>0</v>
      </c>
      <c r="N589">
        <f t="shared" si="19"/>
        <v>1</v>
      </c>
    </row>
    <row r="590" spans="1:14" ht="23.25">
      <c r="A590">
        <v>589</v>
      </c>
      <c r="B590" s="2" t="s">
        <v>1497</v>
      </c>
      <c r="C590" s="2">
        <v>2013</v>
      </c>
      <c r="D590" s="2" t="s">
        <v>105</v>
      </c>
      <c r="E590" s="2" t="s">
        <v>60</v>
      </c>
      <c r="F590" s="2">
        <v>7.8</v>
      </c>
      <c r="G590" s="2">
        <v>85</v>
      </c>
      <c r="H590" s="2" t="s">
        <v>309</v>
      </c>
      <c r="I590" s="2" t="s">
        <v>1498</v>
      </c>
      <c r="J590" s="2">
        <v>45002</v>
      </c>
      <c r="K590" s="3">
        <v>1330596</v>
      </c>
      <c r="L590">
        <f t="shared" si="18"/>
        <v>0</v>
      </c>
      <c r="N590">
        <f t="shared" si="19"/>
        <v>0</v>
      </c>
    </row>
    <row r="591" spans="1:14" ht="23.25">
      <c r="A591">
        <v>590</v>
      </c>
      <c r="B591" s="2" t="s">
        <v>1499</v>
      </c>
      <c r="C591" s="2">
        <v>2013</v>
      </c>
      <c r="D591" s="2" t="s">
        <v>712</v>
      </c>
      <c r="E591" s="2" t="s">
        <v>17</v>
      </c>
      <c r="F591" s="2">
        <v>7.8</v>
      </c>
      <c r="G591" s="2">
        <v>86</v>
      </c>
      <c r="H591" s="2" t="s">
        <v>1500</v>
      </c>
      <c r="I591" s="2" t="s">
        <v>1501</v>
      </c>
      <c r="J591" s="2">
        <v>81125</v>
      </c>
      <c r="K591" s="3">
        <v>2852400</v>
      </c>
      <c r="L591">
        <f t="shared" si="18"/>
        <v>0</v>
      </c>
      <c r="N591">
        <f t="shared" si="19"/>
        <v>0</v>
      </c>
    </row>
    <row r="592" spans="1:14" ht="14.25">
      <c r="A592">
        <v>591</v>
      </c>
      <c r="B592" s="2" t="s">
        <v>1502</v>
      </c>
      <c r="C592" s="2">
        <v>2013</v>
      </c>
      <c r="D592" s="2" t="s">
        <v>295</v>
      </c>
      <c r="E592" s="2" t="s">
        <v>60</v>
      </c>
      <c r="F592" s="2">
        <v>7.8</v>
      </c>
      <c r="G592" s="2">
        <v>76</v>
      </c>
      <c r="H592" s="2" t="s">
        <v>1503</v>
      </c>
      <c r="I592" s="2" t="s">
        <v>425</v>
      </c>
      <c r="J592" s="2">
        <v>50523</v>
      </c>
      <c r="K592" s="3">
        <v>4231500</v>
      </c>
      <c r="L592">
        <f t="shared" si="18"/>
        <v>0</v>
      </c>
      <c r="N592">
        <f t="shared" si="19"/>
        <v>0</v>
      </c>
    </row>
    <row r="593" spans="1:14" ht="25.5">
      <c r="A593">
        <v>592</v>
      </c>
      <c r="B593" s="2" t="s">
        <v>1504</v>
      </c>
      <c r="C593" s="2">
        <v>2012</v>
      </c>
      <c r="D593" s="2" t="s">
        <v>206</v>
      </c>
      <c r="E593" s="2" t="s">
        <v>93</v>
      </c>
      <c r="F593" s="2">
        <v>7.8</v>
      </c>
      <c r="G593" s="4" t="s">
        <v>90</v>
      </c>
      <c r="H593" s="2" t="s">
        <v>1505</v>
      </c>
      <c r="I593" s="2" t="s">
        <v>300</v>
      </c>
      <c r="J593" s="2">
        <v>39710</v>
      </c>
      <c r="K593" s="3">
        <v>169209</v>
      </c>
      <c r="L593">
        <f t="shared" si="18"/>
        <v>0</v>
      </c>
      <c r="N593">
        <f t="shared" si="19"/>
        <v>0</v>
      </c>
    </row>
    <row r="594" spans="1:14" ht="23.25">
      <c r="A594">
        <v>593</v>
      </c>
      <c r="B594" s="2" t="s">
        <v>1506</v>
      </c>
      <c r="C594" s="2">
        <v>2014</v>
      </c>
      <c r="D594" s="2" t="s">
        <v>198</v>
      </c>
      <c r="E594" s="2" t="s">
        <v>110</v>
      </c>
      <c r="F594" s="2">
        <v>7.8</v>
      </c>
      <c r="G594" s="2">
        <v>74</v>
      </c>
      <c r="H594" s="2" t="s">
        <v>1507</v>
      </c>
      <c r="I594" s="2" t="s">
        <v>1508</v>
      </c>
      <c r="J594" s="2">
        <v>410983</v>
      </c>
      <c r="K594" s="3">
        <v>222527828</v>
      </c>
      <c r="L594">
        <f t="shared" si="18"/>
        <v>0</v>
      </c>
      <c r="N594">
        <f t="shared" si="19"/>
        <v>1</v>
      </c>
    </row>
    <row r="595" spans="1:14" ht="23.25">
      <c r="A595">
        <v>594</v>
      </c>
      <c r="B595" s="2" t="s">
        <v>1509</v>
      </c>
      <c r="C595" s="2">
        <v>2013</v>
      </c>
      <c r="D595" s="2" t="s">
        <v>308</v>
      </c>
      <c r="E595" s="2" t="s">
        <v>93</v>
      </c>
      <c r="F595" s="2">
        <v>7.8</v>
      </c>
      <c r="G595" s="2">
        <v>55</v>
      </c>
      <c r="H595" s="2" t="s">
        <v>1510</v>
      </c>
      <c r="I595" s="2" t="s">
        <v>1511</v>
      </c>
      <c r="J595" s="2">
        <v>303032</v>
      </c>
      <c r="K595" s="3">
        <v>15322921</v>
      </c>
      <c r="L595">
        <f t="shared" si="18"/>
        <v>0</v>
      </c>
      <c r="N595">
        <f t="shared" si="19"/>
        <v>0</v>
      </c>
    </row>
    <row r="596" spans="1:14" ht="25.5">
      <c r="A596">
        <v>595</v>
      </c>
      <c r="B596" s="2" t="s">
        <v>1512</v>
      </c>
      <c r="C596" s="2">
        <v>2012</v>
      </c>
      <c r="D596" s="2" t="s">
        <v>261</v>
      </c>
      <c r="E596" s="2" t="s">
        <v>93</v>
      </c>
      <c r="F596" s="2">
        <v>7.8</v>
      </c>
      <c r="G596" s="4" t="s">
        <v>90</v>
      </c>
      <c r="H596" s="2" t="s">
        <v>1513</v>
      </c>
      <c r="I596" s="2" t="s">
        <v>1514</v>
      </c>
      <c r="J596" s="2">
        <v>33618</v>
      </c>
      <c r="K596" s="3">
        <v>1670773</v>
      </c>
      <c r="L596">
        <f t="shared" si="18"/>
        <v>0</v>
      </c>
      <c r="N596">
        <f t="shared" si="19"/>
        <v>0</v>
      </c>
    </row>
    <row r="597" spans="1:14" ht="23.25">
      <c r="A597">
        <v>596</v>
      </c>
      <c r="B597" s="2" t="s">
        <v>1515</v>
      </c>
      <c r="C597" s="2">
        <v>2013</v>
      </c>
      <c r="D597" s="2" t="s">
        <v>206</v>
      </c>
      <c r="E597" s="2" t="s">
        <v>110</v>
      </c>
      <c r="F597" s="2">
        <v>7.8</v>
      </c>
      <c r="G597" s="2">
        <v>83</v>
      </c>
      <c r="H597" s="2" t="s">
        <v>111</v>
      </c>
      <c r="I597" s="2" t="s">
        <v>719</v>
      </c>
      <c r="J597" s="2">
        <v>73690</v>
      </c>
      <c r="K597" s="3">
        <v>5209580</v>
      </c>
      <c r="L597">
        <f t="shared" si="18"/>
        <v>0</v>
      </c>
      <c r="N597">
        <f t="shared" si="19"/>
        <v>0</v>
      </c>
    </row>
    <row r="598" spans="1:14" ht="14.25">
      <c r="A598">
        <v>597</v>
      </c>
      <c r="B598" s="2" t="s">
        <v>1516</v>
      </c>
      <c r="C598" s="2">
        <v>2019</v>
      </c>
      <c r="D598" s="2" t="s">
        <v>614</v>
      </c>
      <c r="E598" s="2" t="s">
        <v>110</v>
      </c>
      <c r="F598" s="2">
        <v>7.8</v>
      </c>
      <c r="G598" s="2">
        <v>84</v>
      </c>
      <c r="H598" s="2" t="s">
        <v>1517</v>
      </c>
      <c r="I598" s="2" t="s">
        <v>62</v>
      </c>
      <c r="J598" s="2">
        <v>203177</v>
      </c>
      <c r="K598" s="3">
        <v>434038008</v>
      </c>
      <c r="L598">
        <f t="shared" si="18"/>
        <v>0</v>
      </c>
      <c r="N598">
        <f t="shared" si="19"/>
        <v>1</v>
      </c>
    </row>
    <row r="599" spans="1:14" ht="23.25">
      <c r="A599">
        <v>598</v>
      </c>
      <c r="B599" s="2" t="s">
        <v>1518</v>
      </c>
      <c r="C599" s="2">
        <v>2013</v>
      </c>
      <c r="D599" s="2" t="s">
        <v>312</v>
      </c>
      <c r="E599" s="2" t="s">
        <v>22</v>
      </c>
      <c r="F599" s="2">
        <v>7.8</v>
      </c>
      <c r="G599" s="2">
        <v>49</v>
      </c>
      <c r="H599" s="2" t="s">
        <v>182</v>
      </c>
      <c r="I599" s="2" t="s">
        <v>1519</v>
      </c>
      <c r="J599" s="2">
        <v>108399</v>
      </c>
      <c r="K599" s="3">
        <v>85433</v>
      </c>
      <c r="L599">
        <f t="shared" si="18"/>
        <v>0</v>
      </c>
      <c r="N599">
        <f t="shared" si="19"/>
        <v>0</v>
      </c>
    </row>
    <row r="600" spans="1:14" ht="23.25">
      <c r="A600">
        <v>599</v>
      </c>
      <c r="B600" s="2" t="s">
        <v>1520</v>
      </c>
      <c r="C600" s="2">
        <v>2012</v>
      </c>
      <c r="D600" s="2" t="s">
        <v>792</v>
      </c>
      <c r="E600" s="2" t="s">
        <v>93</v>
      </c>
      <c r="F600" s="2">
        <v>7.8</v>
      </c>
      <c r="G600" s="2">
        <v>84</v>
      </c>
      <c r="H600" s="2" t="s">
        <v>625</v>
      </c>
      <c r="I600" s="2" t="s">
        <v>1521</v>
      </c>
      <c r="J600" s="2">
        <v>318789</v>
      </c>
      <c r="K600" s="3">
        <v>45512466</v>
      </c>
      <c r="L600">
        <f t="shared" si="18"/>
        <v>0</v>
      </c>
      <c r="N600">
        <f t="shared" si="19"/>
        <v>0</v>
      </c>
    </row>
    <row r="601" spans="1:14" ht="23.25">
      <c r="A601">
        <v>600</v>
      </c>
      <c r="B601" s="2" t="s">
        <v>1522</v>
      </c>
      <c r="C601" s="2">
        <v>2014</v>
      </c>
      <c r="D601" s="2" t="s">
        <v>198</v>
      </c>
      <c r="E601" s="2" t="s">
        <v>110</v>
      </c>
      <c r="F601" s="2">
        <v>7.8</v>
      </c>
      <c r="G601" s="2">
        <v>76</v>
      </c>
      <c r="H601" s="2" t="s">
        <v>680</v>
      </c>
      <c r="I601" s="2" t="s">
        <v>1523</v>
      </c>
      <c r="J601" s="2">
        <v>305611</v>
      </c>
      <c r="K601" s="3">
        <v>177002924</v>
      </c>
      <c r="L601">
        <f t="shared" si="18"/>
        <v>0</v>
      </c>
      <c r="N601">
        <f t="shared" si="19"/>
        <v>1</v>
      </c>
    </row>
    <row r="602" spans="1:14" ht="23.25">
      <c r="A602">
        <v>601</v>
      </c>
      <c r="B602" s="2" t="s">
        <v>1524</v>
      </c>
      <c r="C602" s="2">
        <v>2015</v>
      </c>
      <c r="D602" s="2" t="s">
        <v>105</v>
      </c>
      <c r="E602" s="2" t="s">
        <v>47</v>
      </c>
      <c r="F602" s="2">
        <v>7.8</v>
      </c>
      <c r="G602" s="2">
        <v>81</v>
      </c>
      <c r="H602" s="2" t="s">
        <v>1525</v>
      </c>
      <c r="I602" s="2" t="s">
        <v>29</v>
      </c>
      <c r="J602" s="2">
        <v>362942</v>
      </c>
      <c r="K602" s="3">
        <v>70259870</v>
      </c>
      <c r="L602">
        <f t="shared" si="18"/>
        <v>0</v>
      </c>
      <c r="N602">
        <f t="shared" si="19"/>
        <v>1</v>
      </c>
    </row>
    <row r="603" spans="1:14" ht="25.5">
      <c r="A603">
        <v>602</v>
      </c>
      <c r="B603" s="2" t="s">
        <v>1526</v>
      </c>
      <c r="C603" s="2">
        <v>2010</v>
      </c>
      <c r="D603" s="2" t="s">
        <v>144</v>
      </c>
      <c r="E603" s="2" t="s">
        <v>60</v>
      </c>
      <c r="F603" s="2">
        <v>7.8</v>
      </c>
      <c r="G603" s="4" t="s">
        <v>90</v>
      </c>
      <c r="H603" s="2" t="s">
        <v>1527</v>
      </c>
      <c r="I603" s="2" t="s">
        <v>1528</v>
      </c>
      <c r="J603" s="2">
        <v>35713</v>
      </c>
      <c r="K603" s="4" t="s">
        <v>90</v>
      </c>
      <c r="L603">
        <f t="shared" si="18"/>
        <v>0</v>
      </c>
      <c r="N603">
        <f t="shared" si="19"/>
        <v>1</v>
      </c>
    </row>
    <row r="604" spans="1:14" ht="23.25">
      <c r="A604">
        <v>603</v>
      </c>
      <c r="B604" s="2" t="s">
        <v>1529</v>
      </c>
      <c r="C604" s="2">
        <v>2010</v>
      </c>
      <c r="D604" s="2" t="s">
        <v>689</v>
      </c>
      <c r="E604" s="2" t="s">
        <v>27</v>
      </c>
      <c r="F604" s="2">
        <v>7.8</v>
      </c>
      <c r="G604" s="2">
        <v>67</v>
      </c>
      <c r="H604" s="2" t="s">
        <v>1530</v>
      </c>
      <c r="I604" s="2" t="s">
        <v>1531</v>
      </c>
      <c r="J604" s="2">
        <v>111252</v>
      </c>
      <c r="K604" s="3">
        <v>128392</v>
      </c>
      <c r="L604">
        <f t="shared" si="18"/>
        <v>0</v>
      </c>
      <c r="N604">
        <f t="shared" si="19"/>
        <v>0</v>
      </c>
    </row>
    <row r="605" spans="1:14" ht="35.25">
      <c r="A605">
        <v>604</v>
      </c>
      <c r="B605" s="2" t="s">
        <v>1532</v>
      </c>
      <c r="C605" s="2">
        <v>2011</v>
      </c>
      <c r="D605" s="2" t="s">
        <v>473</v>
      </c>
      <c r="E605" s="2" t="s">
        <v>22</v>
      </c>
      <c r="F605" s="2">
        <v>7.8</v>
      </c>
      <c r="G605" s="2">
        <v>71</v>
      </c>
      <c r="H605" s="2" t="s">
        <v>55</v>
      </c>
      <c r="I605" s="2" t="s">
        <v>1005</v>
      </c>
      <c r="J605" s="2">
        <v>423010</v>
      </c>
      <c r="K605" s="3">
        <v>102515793</v>
      </c>
      <c r="L605">
        <f t="shared" si="18"/>
        <v>0</v>
      </c>
      <c r="N605">
        <f t="shared" si="19"/>
        <v>1</v>
      </c>
    </row>
    <row r="606" spans="1:14" ht="23.25">
      <c r="A606">
        <v>605</v>
      </c>
      <c r="B606" s="2" t="s">
        <v>1533</v>
      </c>
      <c r="C606" s="2">
        <v>2013</v>
      </c>
      <c r="D606" s="2" t="s">
        <v>261</v>
      </c>
      <c r="E606" s="2" t="s">
        <v>102</v>
      </c>
      <c r="F606" s="2">
        <v>7.8</v>
      </c>
      <c r="G606" s="2">
        <v>82</v>
      </c>
      <c r="H606" s="2" t="s">
        <v>988</v>
      </c>
      <c r="I606" s="2" t="s">
        <v>62</v>
      </c>
      <c r="J606" s="2">
        <v>421244</v>
      </c>
      <c r="K606" s="3">
        <v>107100855</v>
      </c>
      <c r="L606">
        <f t="shared" si="18"/>
        <v>0</v>
      </c>
      <c r="N606">
        <f t="shared" si="19"/>
        <v>1</v>
      </c>
    </row>
    <row r="607" spans="1:14" ht="25.5">
      <c r="A607">
        <v>606</v>
      </c>
      <c r="B607" s="2" t="s">
        <v>1534</v>
      </c>
      <c r="C607" s="2">
        <v>2010</v>
      </c>
      <c r="D607" s="2" t="s">
        <v>163</v>
      </c>
      <c r="E607" s="2" t="s">
        <v>27</v>
      </c>
      <c r="F607" s="2">
        <v>7.8</v>
      </c>
      <c r="G607" s="4" t="s">
        <v>90</v>
      </c>
      <c r="H607" s="2" t="s">
        <v>1535</v>
      </c>
      <c r="I607" s="2" t="s">
        <v>1536</v>
      </c>
      <c r="J607" s="2">
        <v>62848</v>
      </c>
      <c r="K607" s="3">
        <v>6460</v>
      </c>
      <c r="L607">
        <f t="shared" si="18"/>
        <v>0</v>
      </c>
      <c r="N607">
        <f t="shared" si="19"/>
        <v>0</v>
      </c>
    </row>
    <row r="608" spans="1:14" ht="23.25">
      <c r="A608">
        <v>607</v>
      </c>
      <c r="B608" s="2" t="s">
        <v>1537</v>
      </c>
      <c r="C608" s="2">
        <v>2015</v>
      </c>
      <c r="D608" s="2" t="s">
        <v>213</v>
      </c>
      <c r="E608" s="2" t="s">
        <v>47</v>
      </c>
      <c r="F608" s="2">
        <v>7.8</v>
      </c>
      <c r="G608" s="2">
        <v>72</v>
      </c>
      <c r="H608" s="2" t="s">
        <v>1538</v>
      </c>
      <c r="I608" s="2" t="s">
        <v>1539</v>
      </c>
      <c r="J608" s="2">
        <v>179264</v>
      </c>
      <c r="K608" s="3">
        <v>161197785</v>
      </c>
      <c r="L608">
        <f t="shared" si="18"/>
        <v>0</v>
      </c>
      <c r="N608">
        <f t="shared" si="19"/>
        <v>1</v>
      </c>
    </row>
    <row r="609" spans="1:14" ht="23.25">
      <c r="A609">
        <v>608</v>
      </c>
      <c r="B609" s="2" t="s">
        <v>1540</v>
      </c>
      <c r="C609" s="2">
        <v>2009</v>
      </c>
      <c r="D609" s="2" t="s">
        <v>368</v>
      </c>
      <c r="E609" s="2" t="s">
        <v>22</v>
      </c>
      <c r="F609" s="2">
        <v>7.8</v>
      </c>
      <c r="G609" s="2">
        <v>79</v>
      </c>
      <c r="H609" s="2" t="s">
        <v>94</v>
      </c>
      <c r="I609" s="2" t="s">
        <v>1541</v>
      </c>
      <c r="J609" s="2">
        <v>52758</v>
      </c>
      <c r="K609" s="3">
        <v>547292</v>
      </c>
      <c r="L609">
        <f t="shared" si="18"/>
        <v>0</v>
      </c>
      <c r="N609">
        <f t="shared" si="19"/>
        <v>0</v>
      </c>
    </row>
    <row r="610" spans="1:14" ht="25.5">
      <c r="A610">
        <v>609</v>
      </c>
      <c r="B610" s="2" t="s">
        <v>1542</v>
      </c>
      <c r="C610" s="2">
        <v>2008</v>
      </c>
      <c r="D610" s="2" t="s">
        <v>109</v>
      </c>
      <c r="E610" s="2" t="s">
        <v>27</v>
      </c>
      <c r="F610" s="2">
        <v>7.8</v>
      </c>
      <c r="G610" s="2">
        <v>64</v>
      </c>
      <c r="H610" s="2" t="s">
        <v>1543</v>
      </c>
      <c r="I610" s="2" t="s">
        <v>1544</v>
      </c>
      <c r="J610" s="2">
        <v>58468</v>
      </c>
      <c r="K610" s="4" t="s">
        <v>90</v>
      </c>
      <c r="L610">
        <f t="shared" si="18"/>
        <v>0</v>
      </c>
      <c r="N610">
        <f t="shared" si="19"/>
        <v>1</v>
      </c>
    </row>
    <row r="611" spans="1:14" ht="35.25">
      <c r="A611">
        <v>610</v>
      </c>
      <c r="B611" s="2" t="s">
        <v>1545</v>
      </c>
      <c r="C611" s="2">
        <v>2013</v>
      </c>
      <c r="D611" s="2" t="s">
        <v>64</v>
      </c>
      <c r="E611" s="2" t="s">
        <v>102</v>
      </c>
      <c r="F611" s="2">
        <v>7.8</v>
      </c>
      <c r="G611" s="2">
        <v>66</v>
      </c>
      <c r="H611" s="2" t="s">
        <v>39</v>
      </c>
      <c r="I611" s="2" t="s">
        <v>1546</v>
      </c>
      <c r="J611" s="2">
        <v>601408</v>
      </c>
      <c r="K611" s="3">
        <v>258366855</v>
      </c>
      <c r="L611">
        <f t="shared" si="18"/>
        <v>0</v>
      </c>
      <c r="N611">
        <f t="shared" si="19"/>
        <v>1</v>
      </c>
    </row>
    <row r="612" spans="1:14" ht="47.25">
      <c r="A612">
        <v>611</v>
      </c>
      <c r="B612" s="2" t="s">
        <v>1547</v>
      </c>
      <c r="C612" s="2">
        <v>2009</v>
      </c>
      <c r="D612" s="2" t="s">
        <v>689</v>
      </c>
      <c r="E612" s="2" t="s">
        <v>60</v>
      </c>
      <c r="F612" s="2">
        <v>7.8</v>
      </c>
      <c r="G612" s="2">
        <v>82</v>
      </c>
      <c r="H612" s="2" t="s">
        <v>1262</v>
      </c>
      <c r="I612" s="2" t="s">
        <v>1548</v>
      </c>
      <c r="J612" s="2">
        <v>68715</v>
      </c>
      <c r="K612" s="3">
        <v>2222647</v>
      </c>
      <c r="L612">
        <f t="shared" si="18"/>
        <v>0</v>
      </c>
      <c r="N612">
        <f t="shared" si="19"/>
        <v>0</v>
      </c>
    </row>
    <row r="613" spans="1:14" ht="23.25">
      <c r="A613">
        <v>612</v>
      </c>
      <c r="B613" s="2" t="s">
        <v>1549</v>
      </c>
      <c r="C613" s="2">
        <v>2009</v>
      </c>
      <c r="D613" s="2" t="s">
        <v>26</v>
      </c>
      <c r="E613" s="2" t="s">
        <v>22</v>
      </c>
      <c r="F613" s="2">
        <v>7.8</v>
      </c>
      <c r="G613" s="2">
        <v>76</v>
      </c>
      <c r="H613" s="2" t="s">
        <v>1550</v>
      </c>
      <c r="I613" s="2" t="s">
        <v>1551</v>
      </c>
      <c r="J613" s="2">
        <v>208994</v>
      </c>
      <c r="K613" s="3">
        <v>10095170</v>
      </c>
      <c r="L613">
        <f t="shared" si="18"/>
        <v>0</v>
      </c>
      <c r="N613">
        <f t="shared" si="19"/>
        <v>0</v>
      </c>
    </row>
    <row r="614" spans="1:14" ht="25.5">
      <c r="A614">
        <v>613</v>
      </c>
      <c r="B614" s="2" t="s">
        <v>1552</v>
      </c>
      <c r="C614" s="2">
        <v>2020</v>
      </c>
      <c r="D614" s="2" t="s">
        <v>368</v>
      </c>
      <c r="E614" s="2" t="s">
        <v>60</v>
      </c>
      <c r="F614" s="2">
        <v>7.8</v>
      </c>
      <c r="G614" s="2">
        <v>77</v>
      </c>
      <c r="H614" s="2" t="s">
        <v>1553</v>
      </c>
      <c r="I614" s="2" t="s">
        <v>1554</v>
      </c>
      <c r="J614" s="2">
        <v>89896</v>
      </c>
      <c r="K614" s="4" t="s">
        <v>90</v>
      </c>
      <c r="L614">
        <f t="shared" si="18"/>
        <v>0</v>
      </c>
      <c r="N614">
        <f t="shared" si="19"/>
        <v>1</v>
      </c>
    </row>
    <row r="615" spans="1:14" ht="25.5">
      <c r="A615">
        <v>614</v>
      </c>
      <c r="B615" s="2" t="s">
        <v>1555</v>
      </c>
      <c r="C615" s="2">
        <v>2020</v>
      </c>
      <c r="D615" s="2" t="s">
        <v>223</v>
      </c>
      <c r="E615" s="2" t="s">
        <v>93</v>
      </c>
      <c r="F615" s="2">
        <v>7.8</v>
      </c>
      <c r="G615" s="2">
        <v>81</v>
      </c>
      <c r="H615" s="2" t="s">
        <v>305</v>
      </c>
      <c r="I615" s="2" t="s">
        <v>306</v>
      </c>
      <c r="J615" s="2">
        <v>33931</v>
      </c>
      <c r="K615" s="4" t="s">
        <v>90</v>
      </c>
      <c r="L615">
        <f t="shared" si="18"/>
        <v>0</v>
      </c>
      <c r="N615">
        <f t="shared" si="19"/>
        <v>1</v>
      </c>
    </row>
    <row r="616" spans="1:14" ht="23.25">
      <c r="A616">
        <v>615</v>
      </c>
      <c r="B616" s="2" t="s">
        <v>1556</v>
      </c>
      <c r="C616" s="2">
        <v>2010</v>
      </c>
      <c r="D616" s="2" t="s">
        <v>117</v>
      </c>
      <c r="E616" s="2" t="s">
        <v>47</v>
      </c>
      <c r="F616" s="2">
        <v>7.8</v>
      </c>
      <c r="G616" s="2">
        <v>79</v>
      </c>
      <c r="H616" s="2" t="s">
        <v>1557</v>
      </c>
      <c r="I616" s="2" t="s">
        <v>1344</v>
      </c>
      <c r="J616" s="2">
        <v>340584</v>
      </c>
      <c r="K616" s="3">
        <v>93617009</v>
      </c>
      <c r="L616">
        <f t="shared" si="18"/>
        <v>0</v>
      </c>
      <c r="N616">
        <f t="shared" si="19"/>
        <v>1</v>
      </c>
    </row>
    <row r="617" spans="1:14" ht="23.25">
      <c r="A617">
        <v>616</v>
      </c>
      <c r="B617" s="2" t="s">
        <v>1558</v>
      </c>
      <c r="C617" s="2">
        <v>2008</v>
      </c>
      <c r="D617" s="2" t="s">
        <v>1080</v>
      </c>
      <c r="E617" s="2" t="s">
        <v>27</v>
      </c>
      <c r="F617" s="2">
        <v>7.8</v>
      </c>
      <c r="G617" s="2">
        <v>51</v>
      </c>
      <c r="H617" s="2" t="s">
        <v>1559</v>
      </c>
      <c r="I617" s="2" t="s">
        <v>49</v>
      </c>
      <c r="J617" s="2">
        <v>564791</v>
      </c>
      <c r="K617" s="3">
        <v>145000989</v>
      </c>
      <c r="L617">
        <f t="shared" si="18"/>
        <v>0</v>
      </c>
      <c r="N617">
        <f t="shared" si="19"/>
        <v>1</v>
      </c>
    </row>
    <row r="618" spans="1:14" ht="23.25">
      <c r="A618">
        <v>617</v>
      </c>
      <c r="B618" s="2" t="s">
        <v>1560</v>
      </c>
      <c r="C618" s="2">
        <v>2008</v>
      </c>
      <c r="D618" s="2" t="s">
        <v>792</v>
      </c>
      <c r="E618" s="2" t="s">
        <v>60</v>
      </c>
      <c r="F618" s="2">
        <v>7.8</v>
      </c>
      <c r="G618" s="2">
        <v>55</v>
      </c>
      <c r="H618" s="2" t="s">
        <v>1561</v>
      </c>
      <c r="I618" s="2" t="s">
        <v>1562</v>
      </c>
      <c r="J618" s="2">
        <v>190748</v>
      </c>
      <c r="K618" s="3">
        <v>9030581</v>
      </c>
      <c r="L618">
        <f t="shared" si="18"/>
        <v>0</v>
      </c>
      <c r="N618">
        <f t="shared" si="19"/>
        <v>0</v>
      </c>
    </row>
    <row r="619" spans="1:14" ht="23.25">
      <c r="A619">
        <v>618</v>
      </c>
      <c r="B619" s="2" t="s">
        <v>1563</v>
      </c>
      <c r="C619" s="2">
        <v>2007</v>
      </c>
      <c r="D619" s="2" t="s">
        <v>519</v>
      </c>
      <c r="E619" s="2" t="s">
        <v>60</v>
      </c>
      <c r="F619" s="2">
        <v>7.8</v>
      </c>
      <c r="G619" s="2">
        <v>88</v>
      </c>
      <c r="H619" s="2" t="s">
        <v>1237</v>
      </c>
      <c r="I619" s="2" t="s">
        <v>1564</v>
      </c>
      <c r="J619" s="2">
        <v>110656</v>
      </c>
      <c r="K619" s="3">
        <v>9439923</v>
      </c>
      <c r="L619">
        <f t="shared" si="18"/>
        <v>0</v>
      </c>
      <c r="N619">
        <f t="shared" si="19"/>
        <v>0</v>
      </c>
    </row>
    <row r="620" spans="1:14" ht="35.25">
      <c r="A620">
        <v>619</v>
      </c>
      <c r="B620" s="2" t="s">
        <v>1565</v>
      </c>
      <c r="C620" s="2">
        <v>2012</v>
      </c>
      <c r="D620" s="2" t="s">
        <v>101</v>
      </c>
      <c r="E620" s="2" t="s">
        <v>102</v>
      </c>
      <c r="F620" s="2">
        <v>7.8</v>
      </c>
      <c r="G620" s="2">
        <v>58</v>
      </c>
      <c r="H620" s="2" t="s">
        <v>39</v>
      </c>
      <c r="I620" s="2" t="s">
        <v>1566</v>
      </c>
      <c r="J620" s="2">
        <v>757377</v>
      </c>
      <c r="K620" s="3">
        <v>303003568</v>
      </c>
      <c r="L620">
        <f t="shared" si="18"/>
        <v>0</v>
      </c>
      <c r="N620">
        <f t="shared" si="19"/>
        <v>1</v>
      </c>
    </row>
    <row r="621" spans="1:14" ht="23.25">
      <c r="A621">
        <v>620</v>
      </c>
      <c r="B621" s="2" t="s">
        <v>1567</v>
      </c>
      <c r="C621" s="2">
        <v>2007</v>
      </c>
      <c r="D621" s="2" t="s">
        <v>140</v>
      </c>
      <c r="E621" s="2" t="s">
        <v>17</v>
      </c>
      <c r="F621" s="2">
        <v>7.8</v>
      </c>
      <c r="G621" s="2">
        <v>85</v>
      </c>
      <c r="H621" s="2" t="s">
        <v>1314</v>
      </c>
      <c r="I621" s="2" t="s">
        <v>1568</v>
      </c>
      <c r="J621" s="2">
        <v>30827</v>
      </c>
      <c r="K621" s="3">
        <v>741283</v>
      </c>
      <c r="L621">
        <f t="shared" si="18"/>
        <v>0</v>
      </c>
      <c r="N621">
        <f t="shared" si="19"/>
        <v>0</v>
      </c>
    </row>
    <row r="622" spans="1:14" ht="23.25">
      <c r="A622">
        <v>621</v>
      </c>
      <c r="B622" s="2" t="s">
        <v>1569</v>
      </c>
      <c r="C622" s="2">
        <v>2007</v>
      </c>
      <c r="D622" s="2" t="s">
        <v>308</v>
      </c>
      <c r="E622" s="2" t="s">
        <v>60</v>
      </c>
      <c r="F622" s="2">
        <v>7.8</v>
      </c>
      <c r="G622" s="2">
        <v>85</v>
      </c>
      <c r="H622" s="2" t="s">
        <v>1570</v>
      </c>
      <c r="I622" s="2" t="s">
        <v>1571</v>
      </c>
      <c r="J622" s="2">
        <v>251370</v>
      </c>
      <c r="K622" s="3">
        <v>50927067</v>
      </c>
      <c r="L622">
        <f t="shared" si="18"/>
        <v>0</v>
      </c>
      <c r="N622">
        <f t="shared" si="19"/>
        <v>1</v>
      </c>
    </row>
    <row r="623" spans="1:14" ht="35.25">
      <c r="A623">
        <v>622</v>
      </c>
      <c r="B623" s="2" t="s">
        <v>1572</v>
      </c>
      <c r="C623" s="2">
        <v>2011</v>
      </c>
      <c r="D623" s="2" t="s">
        <v>614</v>
      </c>
      <c r="E623" s="2" t="s">
        <v>22</v>
      </c>
      <c r="F623" s="2">
        <v>7.8</v>
      </c>
      <c r="G623" s="2">
        <v>78</v>
      </c>
      <c r="H623" s="2" t="s">
        <v>1573</v>
      </c>
      <c r="I623" s="2" t="s">
        <v>910</v>
      </c>
      <c r="J623" s="2">
        <v>571571</v>
      </c>
      <c r="K623" s="3">
        <v>35061555</v>
      </c>
      <c r="L623">
        <f t="shared" si="18"/>
        <v>0</v>
      </c>
      <c r="N623">
        <f t="shared" si="19"/>
        <v>0</v>
      </c>
    </row>
    <row r="624" spans="1:14" ht="23.25">
      <c r="A624">
        <v>623</v>
      </c>
      <c r="B624" s="2" t="s">
        <v>1574</v>
      </c>
      <c r="C624" s="2">
        <v>2007</v>
      </c>
      <c r="D624" s="2" t="s">
        <v>1254</v>
      </c>
      <c r="E624" s="2" t="s">
        <v>47</v>
      </c>
      <c r="F624" s="2">
        <v>7.8</v>
      </c>
      <c r="G624" s="2">
        <v>76</v>
      </c>
      <c r="H624" s="2" t="s">
        <v>160</v>
      </c>
      <c r="I624" s="2" t="s">
        <v>1575</v>
      </c>
      <c r="J624" s="2">
        <v>392449</v>
      </c>
      <c r="K624" s="3">
        <v>130164645</v>
      </c>
      <c r="L624">
        <f t="shared" si="18"/>
        <v>0</v>
      </c>
      <c r="N624">
        <f t="shared" si="19"/>
        <v>1</v>
      </c>
    </row>
    <row r="625" spans="1:14" ht="35.25">
      <c r="A625">
        <v>624</v>
      </c>
      <c r="B625" s="2" t="s">
        <v>1576</v>
      </c>
      <c r="C625" s="2">
        <v>2009</v>
      </c>
      <c r="D625" s="2" t="s">
        <v>525</v>
      </c>
      <c r="E625" s="2" t="s">
        <v>27</v>
      </c>
      <c r="F625" s="2">
        <v>7.8</v>
      </c>
      <c r="G625" s="2">
        <v>83</v>
      </c>
      <c r="H625" s="2" t="s">
        <v>179</v>
      </c>
      <c r="I625" s="2" t="s">
        <v>1577</v>
      </c>
      <c r="J625" s="2">
        <v>1118998</v>
      </c>
      <c r="K625" s="3">
        <v>760507625</v>
      </c>
      <c r="L625">
        <f t="shared" si="18"/>
        <v>0</v>
      </c>
      <c r="N625">
        <f t="shared" si="19"/>
        <v>1</v>
      </c>
    </row>
    <row r="626" spans="1:14" ht="23.25">
      <c r="A626">
        <v>625</v>
      </c>
      <c r="B626" s="2" t="s">
        <v>1578</v>
      </c>
      <c r="C626" s="2">
        <v>2009</v>
      </c>
      <c r="D626" s="2" t="s">
        <v>712</v>
      </c>
      <c r="E626" s="2" t="s">
        <v>60</v>
      </c>
      <c r="F626" s="2">
        <v>7.8</v>
      </c>
      <c r="G626" s="2">
        <v>63</v>
      </c>
      <c r="H626" s="2" t="s">
        <v>1579</v>
      </c>
      <c r="I626" s="2" t="s">
        <v>1580</v>
      </c>
      <c r="J626" s="2">
        <v>216421</v>
      </c>
      <c r="K626" s="3">
        <v>3600</v>
      </c>
      <c r="L626">
        <f t="shared" si="18"/>
        <v>0</v>
      </c>
      <c r="N626">
        <f t="shared" si="19"/>
        <v>0</v>
      </c>
    </row>
    <row r="627" spans="1:14" ht="23.25">
      <c r="A627">
        <v>626</v>
      </c>
      <c r="B627" s="2" t="s">
        <v>1581</v>
      </c>
      <c r="C627" s="2">
        <v>2006</v>
      </c>
      <c r="D627" s="2" t="s">
        <v>54</v>
      </c>
      <c r="E627" s="2" t="s">
        <v>27</v>
      </c>
      <c r="F627" s="2">
        <v>7.8</v>
      </c>
      <c r="G627" s="2">
        <v>68</v>
      </c>
      <c r="H627" s="2" t="s">
        <v>346</v>
      </c>
      <c r="I627" s="2" t="s">
        <v>1582</v>
      </c>
      <c r="J627" s="2">
        <v>291018</v>
      </c>
      <c r="K627" s="3">
        <v>50866635</v>
      </c>
      <c r="L627">
        <f t="shared" si="18"/>
        <v>0</v>
      </c>
      <c r="N627">
        <f t="shared" si="19"/>
        <v>1</v>
      </c>
    </row>
    <row r="628" spans="1:14" ht="23.25">
      <c r="A628">
        <v>627</v>
      </c>
      <c r="B628" s="2" t="s">
        <v>1583</v>
      </c>
      <c r="C628" s="2">
        <v>2006</v>
      </c>
      <c r="D628" s="2" t="s">
        <v>253</v>
      </c>
      <c r="E628" s="2" t="s">
        <v>93</v>
      </c>
      <c r="F628" s="2">
        <v>7.8</v>
      </c>
      <c r="G628" s="2">
        <v>80</v>
      </c>
      <c r="H628" s="2" t="s">
        <v>1584</v>
      </c>
      <c r="I628" s="2" t="s">
        <v>1585</v>
      </c>
      <c r="J628" s="2">
        <v>439856</v>
      </c>
      <c r="K628" s="3">
        <v>59891098</v>
      </c>
      <c r="L628">
        <f t="shared" si="18"/>
        <v>0</v>
      </c>
      <c r="N628">
        <f t="shared" si="19"/>
        <v>1</v>
      </c>
    </row>
    <row r="629" spans="1:14" ht="23.25">
      <c r="A629">
        <v>628</v>
      </c>
      <c r="B629" s="2" t="s">
        <v>1586</v>
      </c>
      <c r="C629" s="2">
        <v>2007</v>
      </c>
      <c r="D629" s="2" t="s">
        <v>127</v>
      </c>
      <c r="E629" s="2" t="s">
        <v>27</v>
      </c>
      <c r="F629" s="2">
        <v>7.8</v>
      </c>
      <c r="G629" s="2">
        <v>81</v>
      </c>
      <c r="H629" s="2" t="s">
        <v>1311</v>
      </c>
      <c r="I629" s="2" t="s">
        <v>1312</v>
      </c>
      <c r="J629" s="2">
        <v>463466</v>
      </c>
      <c r="K629" s="3">
        <v>23637265</v>
      </c>
      <c r="L629">
        <f t="shared" si="18"/>
        <v>0</v>
      </c>
      <c r="N629">
        <f t="shared" si="19"/>
        <v>0</v>
      </c>
    </row>
    <row r="630" spans="1:14" ht="47.25">
      <c r="A630">
        <v>629</v>
      </c>
      <c r="B630" s="2" t="s">
        <v>1587</v>
      </c>
      <c r="C630" s="2">
        <v>2008</v>
      </c>
      <c r="D630" s="2" t="s">
        <v>1588</v>
      </c>
      <c r="E630" s="2" t="s">
        <v>60</v>
      </c>
      <c r="F630" s="2">
        <v>7.8</v>
      </c>
      <c r="G630" s="2">
        <v>70</v>
      </c>
      <c r="H630" s="2" t="s">
        <v>55</v>
      </c>
      <c r="I630" s="2" t="s">
        <v>56</v>
      </c>
      <c r="J630" s="2">
        <v>589160</v>
      </c>
      <c r="K630" s="3">
        <v>127509326</v>
      </c>
      <c r="L630">
        <f t="shared" si="18"/>
        <v>0</v>
      </c>
      <c r="N630">
        <f t="shared" si="19"/>
        <v>1</v>
      </c>
    </row>
    <row r="631" spans="1:14" ht="23.25">
      <c r="A631">
        <v>630</v>
      </c>
      <c r="B631" s="2" t="s">
        <v>1589</v>
      </c>
      <c r="C631" s="2">
        <v>2004</v>
      </c>
      <c r="D631" s="2" t="s">
        <v>1590</v>
      </c>
      <c r="E631" s="2" t="s">
        <v>60</v>
      </c>
      <c r="F631" s="2">
        <v>7.8</v>
      </c>
      <c r="G631" s="2">
        <v>67</v>
      </c>
      <c r="H631" s="2" t="s">
        <v>1591</v>
      </c>
      <c r="I631" s="2" t="s">
        <v>471</v>
      </c>
      <c r="J631" s="2">
        <v>49050</v>
      </c>
      <c r="K631" s="3">
        <v>2921738</v>
      </c>
      <c r="L631">
        <f t="shared" si="18"/>
        <v>0</v>
      </c>
      <c r="N631">
        <f t="shared" si="19"/>
        <v>0</v>
      </c>
    </row>
    <row r="632" spans="1:14" ht="35.25">
      <c r="A632">
        <v>631</v>
      </c>
      <c r="B632" s="2" t="s">
        <v>1592</v>
      </c>
      <c r="C632" s="2">
        <v>2005</v>
      </c>
      <c r="D632" s="2" t="s">
        <v>792</v>
      </c>
      <c r="E632" s="2" t="s">
        <v>93</v>
      </c>
      <c r="F632" s="2">
        <v>7.8</v>
      </c>
      <c r="G632" s="2">
        <v>51</v>
      </c>
      <c r="H632" s="2" t="s">
        <v>1593</v>
      </c>
      <c r="I632" s="2" t="s">
        <v>1049</v>
      </c>
      <c r="J632" s="2">
        <v>45717</v>
      </c>
      <c r="K632" s="3">
        <v>1305</v>
      </c>
      <c r="L632">
        <f t="shared" si="18"/>
        <v>0</v>
      </c>
      <c r="N632">
        <f t="shared" si="19"/>
        <v>0</v>
      </c>
    </row>
    <row r="633" spans="1:14" ht="23.25">
      <c r="A633">
        <v>632</v>
      </c>
      <c r="B633" s="2" t="s">
        <v>1594</v>
      </c>
      <c r="C633" s="2">
        <v>2005</v>
      </c>
      <c r="D633" s="2" t="s">
        <v>368</v>
      </c>
      <c r="E633" s="2" t="s">
        <v>60</v>
      </c>
      <c r="F633" s="2">
        <v>7.8</v>
      </c>
      <c r="G633" s="2">
        <v>82</v>
      </c>
      <c r="H633" s="2" t="s">
        <v>1570</v>
      </c>
      <c r="I633" s="2" t="s">
        <v>1571</v>
      </c>
      <c r="J633" s="2">
        <v>258924</v>
      </c>
      <c r="K633" s="3">
        <v>38405088</v>
      </c>
      <c r="L633">
        <f t="shared" si="18"/>
        <v>0</v>
      </c>
      <c r="N633">
        <f t="shared" si="19"/>
        <v>0</v>
      </c>
    </row>
    <row r="634" spans="1:14" ht="23.25">
      <c r="A634">
        <v>633</v>
      </c>
      <c r="B634" s="2" t="s">
        <v>1595</v>
      </c>
      <c r="C634" s="2">
        <v>2005</v>
      </c>
      <c r="D634" s="2" t="s">
        <v>120</v>
      </c>
      <c r="E634" s="2" t="s">
        <v>47</v>
      </c>
      <c r="F634" s="2">
        <v>7.8</v>
      </c>
      <c r="G634" s="2">
        <v>68</v>
      </c>
      <c r="H634" s="2" t="s">
        <v>1596</v>
      </c>
      <c r="I634" s="2" t="s">
        <v>790</v>
      </c>
      <c r="J634" s="2">
        <v>51980</v>
      </c>
      <c r="K634" s="3">
        <v>5128124</v>
      </c>
      <c r="L634">
        <f t="shared" si="18"/>
        <v>0</v>
      </c>
      <c r="N634">
        <f t="shared" si="19"/>
        <v>0</v>
      </c>
    </row>
    <row r="635" spans="1:14" ht="23.25">
      <c r="A635">
        <v>634</v>
      </c>
      <c r="B635" s="2" t="s">
        <v>1597</v>
      </c>
      <c r="C635" s="2">
        <v>2003</v>
      </c>
      <c r="D635" s="2" t="s">
        <v>1080</v>
      </c>
      <c r="E635" s="2" t="s">
        <v>110</v>
      </c>
      <c r="F635" s="2">
        <v>7.8</v>
      </c>
      <c r="G635" s="2">
        <v>73</v>
      </c>
      <c r="H635" s="2" t="s">
        <v>1046</v>
      </c>
      <c r="I635" s="2" t="s">
        <v>1598</v>
      </c>
      <c r="J635" s="2">
        <v>31658</v>
      </c>
      <c r="K635" s="3">
        <v>128985</v>
      </c>
      <c r="L635">
        <f t="shared" si="18"/>
        <v>0</v>
      </c>
      <c r="N635">
        <f t="shared" si="19"/>
        <v>0</v>
      </c>
    </row>
    <row r="636" spans="1:14" ht="23.25">
      <c r="A636">
        <v>635</v>
      </c>
      <c r="B636" s="2" t="s">
        <v>1599</v>
      </c>
      <c r="C636" s="2">
        <v>2005</v>
      </c>
      <c r="D636" s="2" t="s">
        <v>163</v>
      </c>
      <c r="E636" s="2" t="s">
        <v>27</v>
      </c>
      <c r="F636" s="2">
        <v>7.8</v>
      </c>
      <c r="G636" s="2">
        <v>74</v>
      </c>
      <c r="H636" s="2" t="s">
        <v>975</v>
      </c>
      <c r="I636" s="2" t="s">
        <v>1600</v>
      </c>
      <c r="J636" s="2">
        <v>283310</v>
      </c>
      <c r="K636" s="3">
        <v>25514517</v>
      </c>
      <c r="L636">
        <f t="shared" si="18"/>
        <v>0</v>
      </c>
      <c r="N636">
        <f t="shared" si="19"/>
        <v>0</v>
      </c>
    </row>
    <row r="637" spans="1:14" ht="23.25">
      <c r="A637">
        <v>636</v>
      </c>
      <c r="B637" s="2" t="s">
        <v>1601</v>
      </c>
      <c r="C637" s="2">
        <v>2005</v>
      </c>
      <c r="D637" s="2" t="s">
        <v>71</v>
      </c>
      <c r="E637" s="2" t="s">
        <v>47</v>
      </c>
      <c r="F637" s="2">
        <v>7.8</v>
      </c>
      <c r="G637" s="2">
        <v>72</v>
      </c>
      <c r="H637" s="2" t="s">
        <v>605</v>
      </c>
      <c r="I637" s="2" t="s">
        <v>142</v>
      </c>
      <c r="J637" s="2">
        <v>234207</v>
      </c>
      <c r="K637" s="3">
        <v>119519402</v>
      </c>
      <c r="L637">
        <f t="shared" si="18"/>
        <v>0</v>
      </c>
      <c r="N637">
        <f t="shared" si="19"/>
        <v>1</v>
      </c>
    </row>
    <row r="638" spans="1:14" ht="23.25">
      <c r="A638">
        <v>637</v>
      </c>
      <c r="B638" s="2" t="s">
        <v>1602</v>
      </c>
      <c r="C638" s="2">
        <v>2003</v>
      </c>
      <c r="D638" s="2" t="s">
        <v>257</v>
      </c>
      <c r="E638" s="2" t="s">
        <v>17</v>
      </c>
      <c r="F638" s="2">
        <v>7.8</v>
      </c>
      <c r="G638" s="2">
        <v>61</v>
      </c>
      <c r="H638" s="2" t="s">
        <v>1603</v>
      </c>
      <c r="I638" s="2" t="s">
        <v>1604</v>
      </c>
      <c r="J638" s="2">
        <v>35682</v>
      </c>
      <c r="K638" s="3">
        <v>15280</v>
      </c>
      <c r="L638">
        <f t="shared" si="18"/>
        <v>0</v>
      </c>
      <c r="N638">
        <f t="shared" si="19"/>
        <v>0</v>
      </c>
    </row>
    <row r="639" spans="1:14" ht="23.25">
      <c r="A639">
        <v>638</v>
      </c>
      <c r="B639" s="2" t="s">
        <v>1605</v>
      </c>
      <c r="C639" s="2">
        <v>2004</v>
      </c>
      <c r="D639" s="2" t="s">
        <v>308</v>
      </c>
      <c r="E639" s="2" t="s">
        <v>60</v>
      </c>
      <c r="F639" s="2">
        <v>7.8</v>
      </c>
      <c r="G639" s="2">
        <v>53</v>
      </c>
      <c r="H639" s="2" t="s">
        <v>1606</v>
      </c>
      <c r="I639" s="2" t="s">
        <v>1607</v>
      </c>
      <c r="J639" s="2">
        <v>520284</v>
      </c>
      <c r="K639" s="3">
        <v>81001787</v>
      </c>
      <c r="L639">
        <f t="shared" si="18"/>
        <v>0</v>
      </c>
      <c r="N639">
        <f t="shared" si="19"/>
        <v>1</v>
      </c>
    </row>
    <row r="640" spans="1:14" ht="23.25">
      <c r="A640">
        <v>639</v>
      </c>
      <c r="B640" s="2" t="s">
        <v>1608</v>
      </c>
      <c r="C640" s="2">
        <v>2004</v>
      </c>
      <c r="D640" s="2" t="s">
        <v>206</v>
      </c>
      <c r="E640" s="2" t="s">
        <v>102</v>
      </c>
      <c r="F640" s="2">
        <v>7.8</v>
      </c>
      <c r="G640" s="2">
        <v>75</v>
      </c>
      <c r="H640" s="2" t="s">
        <v>1051</v>
      </c>
      <c r="I640" s="2" t="s">
        <v>1609</v>
      </c>
      <c r="J640" s="2">
        <v>96703</v>
      </c>
      <c r="K640" s="3">
        <v>16756372</v>
      </c>
      <c r="L640">
        <f t="shared" si="18"/>
        <v>0</v>
      </c>
      <c r="N640">
        <f t="shared" si="19"/>
        <v>0</v>
      </c>
    </row>
    <row r="641" spans="1:14" ht="23.25">
      <c r="A641">
        <v>640</v>
      </c>
      <c r="B641" s="2" t="s">
        <v>1610</v>
      </c>
      <c r="C641" s="2">
        <v>2002</v>
      </c>
      <c r="D641" s="2" t="s">
        <v>193</v>
      </c>
      <c r="E641" s="2" t="s">
        <v>22</v>
      </c>
      <c r="F641" s="2">
        <v>7.8</v>
      </c>
      <c r="G641" s="2">
        <v>82</v>
      </c>
      <c r="H641" s="2" t="s">
        <v>1611</v>
      </c>
      <c r="I641" s="2" t="s">
        <v>1612</v>
      </c>
      <c r="J641" s="2">
        <v>42673</v>
      </c>
      <c r="K641" s="3">
        <v>181655</v>
      </c>
      <c r="L641">
        <f t="shared" si="18"/>
        <v>0</v>
      </c>
      <c r="N641">
        <f t="shared" si="19"/>
        <v>0</v>
      </c>
    </row>
    <row r="642" spans="1:14" ht="23.25">
      <c r="A642">
        <v>641</v>
      </c>
      <c r="B642" s="2" t="s">
        <v>1613</v>
      </c>
      <c r="C642" s="2">
        <v>2003</v>
      </c>
      <c r="D642" s="2" t="s">
        <v>700</v>
      </c>
      <c r="E642" s="2" t="s">
        <v>110</v>
      </c>
      <c r="F642" s="2">
        <v>7.8</v>
      </c>
      <c r="G642" s="2">
        <v>91</v>
      </c>
      <c r="H642" s="2" t="s">
        <v>1614</v>
      </c>
      <c r="I642" s="2" t="s">
        <v>1615</v>
      </c>
      <c r="J642" s="2">
        <v>50622</v>
      </c>
      <c r="K642" s="3">
        <v>7002255</v>
      </c>
      <c r="L642">
        <f t="shared" si="18"/>
        <v>0</v>
      </c>
      <c r="N642">
        <f t="shared" si="19"/>
        <v>0</v>
      </c>
    </row>
    <row r="643" spans="1:14" ht="35.25">
      <c r="A643">
        <v>642</v>
      </c>
      <c r="B643" s="2" t="s">
        <v>1616</v>
      </c>
      <c r="C643" s="2">
        <v>2000</v>
      </c>
      <c r="D643" s="2" t="s">
        <v>170</v>
      </c>
      <c r="E643" s="2" t="s">
        <v>27</v>
      </c>
      <c r="F643" s="2">
        <v>7.8</v>
      </c>
      <c r="G643" s="2">
        <v>58</v>
      </c>
      <c r="H643" s="2" t="s">
        <v>254</v>
      </c>
      <c r="I643" s="2" t="s">
        <v>1617</v>
      </c>
      <c r="J643" s="2">
        <v>26518</v>
      </c>
      <c r="K643" s="4" t="s">
        <v>90</v>
      </c>
      <c r="L643">
        <f t="shared" ref="L643:L706" si="20">IF(AND(F643&gt;=8.2, G643&gt;8.2), 1, 0)</f>
        <v>0</v>
      </c>
      <c r="N643">
        <f t="shared" ref="N643:N706" si="21">IF(K643&gt;=50000000, 1, 0)</f>
        <v>1</v>
      </c>
    </row>
    <row r="644" spans="1:14" ht="23.25">
      <c r="A644">
        <v>643</v>
      </c>
      <c r="B644" s="2" t="s">
        <v>1618</v>
      </c>
      <c r="C644" s="2">
        <v>2002</v>
      </c>
      <c r="D644" s="2" t="s">
        <v>312</v>
      </c>
      <c r="E644" s="2" t="s">
        <v>27</v>
      </c>
      <c r="F644" s="2">
        <v>7.8</v>
      </c>
      <c r="G644" s="2">
        <v>61</v>
      </c>
      <c r="H644" s="2" t="s">
        <v>1619</v>
      </c>
      <c r="I644" s="2" t="s">
        <v>1620</v>
      </c>
      <c r="J644" s="2">
        <v>129022</v>
      </c>
      <c r="K644" s="3">
        <v>54234062</v>
      </c>
      <c r="L644">
        <f t="shared" si="20"/>
        <v>0</v>
      </c>
      <c r="N644">
        <f t="shared" si="21"/>
        <v>1</v>
      </c>
    </row>
    <row r="645" spans="1:14" ht="23.25">
      <c r="A645">
        <v>644</v>
      </c>
      <c r="B645" s="2" t="s">
        <v>1621</v>
      </c>
      <c r="C645" s="2">
        <v>2001</v>
      </c>
      <c r="D645" s="2" t="s">
        <v>348</v>
      </c>
      <c r="E645" s="2" t="s">
        <v>110</v>
      </c>
      <c r="F645" s="2">
        <v>7.8</v>
      </c>
      <c r="G645" s="2">
        <v>83</v>
      </c>
      <c r="H645" s="2" t="s">
        <v>701</v>
      </c>
      <c r="I645" s="2" t="s">
        <v>702</v>
      </c>
      <c r="J645" s="2">
        <v>60684</v>
      </c>
      <c r="K645" s="3">
        <v>2892011</v>
      </c>
      <c r="L645">
        <f t="shared" si="20"/>
        <v>0</v>
      </c>
      <c r="N645">
        <f t="shared" si="21"/>
        <v>0</v>
      </c>
    </row>
    <row r="646" spans="1:14" ht="23.25">
      <c r="A646">
        <v>645</v>
      </c>
      <c r="B646" s="2" t="s">
        <v>1622</v>
      </c>
      <c r="C646" s="2">
        <v>2000</v>
      </c>
      <c r="D646" s="2" t="s">
        <v>257</v>
      </c>
      <c r="E646" s="2" t="s">
        <v>47</v>
      </c>
      <c r="F646" s="2">
        <v>7.8</v>
      </c>
      <c r="G646" s="2">
        <v>48</v>
      </c>
      <c r="H646" s="2" t="s">
        <v>1623</v>
      </c>
      <c r="I646" s="2" t="s">
        <v>1575</v>
      </c>
      <c r="J646" s="2">
        <v>198089</v>
      </c>
      <c r="K646" s="3">
        <v>115654751</v>
      </c>
      <c r="L646">
        <f t="shared" si="20"/>
        <v>0</v>
      </c>
      <c r="N646">
        <f t="shared" si="21"/>
        <v>1</v>
      </c>
    </row>
    <row r="647" spans="1:14" ht="23.25">
      <c r="A647">
        <v>646</v>
      </c>
      <c r="B647" s="2" t="s">
        <v>1624</v>
      </c>
      <c r="C647" s="2">
        <v>2000</v>
      </c>
      <c r="D647" s="2" t="s">
        <v>660</v>
      </c>
      <c r="E647" s="2" t="s">
        <v>27</v>
      </c>
      <c r="F647" s="2">
        <v>7.8</v>
      </c>
      <c r="G647" s="2">
        <v>94</v>
      </c>
      <c r="H647" s="2" t="s">
        <v>1299</v>
      </c>
      <c r="I647" s="2" t="s">
        <v>1625</v>
      </c>
      <c r="J647" s="2">
        <v>253228</v>
      </c>
      <c r="K647" s="3">
        <v>128078872</v>
      </c>
      <c r="L647">
        <f t="shared" si="20"/>
        <v>0</v>
      </c>
      <c r="N647">
        <f t="shared" si="21"/>
        <v>1</v>
      </c>
    </row>
    <row r="648" spans="1:14" ht="23.25">
      <c r="A648">
        <v>647</v>
      </c>
      <c r="B648" s="2" t="s">
        <v>1626</v>
      </c>
      <c r="C648" s="2">
        <v>1999</v>
      </c>
      <c r="D648" s="2" t="s">
        <v>253</v>
      </c>
      <c r="E648" s="2" t="s">
        <v>17</v>
      </c>
      <c r="F648" s="2">
        <v>7.8</v>
      </c>
      <c r="G648" s="2">
        <v>87</v>
      </c>
      <c r="H648" s="2" t="s">
        <v>1322</v>
      </c>
      <c r="I648" s="2" t="s">
        <v>1627</v>
      </c>
      <c r="J648" s="2">
        <v>89058</v>
      </c>
      <c r="K648" s="3">
        <v>8264530</v>
      </c>
      <c r="L648">
        <f t="shared" si="20"/>
        <v>0</v>
      </c>
      <c r="N648">
        <f t="shared" si="21"/>
        <v>0</v>
      </c>
    </row>
    <row r="649" spans="1:14" ht="23.25">
      <c r="A649">
        <v>648</v>
      </c>
      <c r="B649" s="2" t="s">
        <v>1628</v>
      </c>
      <c r="C649" s="2">
        <v>2000</v>
      </c>
      <c r="D649" s="2" t="s">
        <v>278</v>
      </c>
      <c r="E649" s="2" t="s">
        <v>102</v>
      </c>
      <c r="F649" s="2">
        <v>7.8</v>
      </c>
      <c r="G649" s="2">
        <v>73</v>
      </c>
      <c r="H649" s="2" t="s">
        <v>61</v>
      </c>
      <c r="I649" s="2" t="s">
        <v>62</v>
      </c>
      <c r="J649" s="2">
        <v>524235</v>
      </c>
      <c r="K649" s="3">
        <v>233632142</v>
      </c>
      <c r="L649">
        <f t="shared" si="20"/>
        <v>0</v>
      </c>
      <c r="N649">
        <f t="shared" si="21"/>
        <v>1</v>
      </c>
    </row>
    <row r="650" spans="1:14" ht="23.25">
      <c r="A650">
        <v>649</v>
      </c>
      <c r="B650" s="2" t="s">
        <v>1629</v>
      </c>
      <c r="C650" s="2">
        <v>1999</v>
      </c>
      <c r="D650" s="2" t="s">
        <v>323</v>
      </c>
      <c r="E650" s="2" t="s">
        <v>27</v>
      </c>
      <c r="F650" s="2">
        <v>7.8</v>
      </c>
      <c r="G650" s="2">
        <v>44</v>
      </c>
      <c r="H650" s="2" t="s">
        <v>1630</v>
      </c>
      <c r="I650" s="2" t="s">
        <v>901</v>
      </c>
      <c r="J650" s="2">
        <v>227143</v>
      </c>
      <c r="K650" s="3">
        <v>25812</v>
      </c>
      <c r="L650">
        <f t="shared" si="20"/>
        <v>0</v>
      </c>
      <c r="N650">
        <f t="shared" si="21"/>
        <v>0</v>
      </c>
    </row>
    <row r="651" spans="1:14" ht="23.25">
      <c r="A651">
        <v>650</v>
      </c>
      <c r="B651" s="2" t="s">
        <v>1631</v>
      </c>
      <c r="C651" s="2">
        <v>1999</v>
      </c>
      <c r="D651" s="2" t="s">
        <v>1254</v>
      </c>
      <c r="E651" s="2" t="s">
        <v>47</v>
      </c>
      <c r="F651" s="2">
        <v>7.8</v>
      </c>
      <c r="G651" s="2">
        <v>84</v>
      </c>
      <c r="H651" s="2" t="s">
        <v>509</v>
      </c>
      <c r="I651" s="2" t="s">
        <v>161</v>
      </c>
      <c r="J651" s="2">
        <v>159886</v>
      </c>
      <c r="K651" s="3">
        <v>28965197</v>
      </c>
      <c r="L651">
        <f t="shared" si="20"/>
        <v>0</v>
      </c>
      <c r="N651">
        <f t="shared" si="21"/>
        <v>0</v>
      </c>
    </row>
    <row r="652" spans="1:14" ht="23.25">
      <c r="A652">
        <v>651</v>
      </c>
      <c r="B652" s="2" t="s">
        <v>1632</v>
      </c>
      <c r="C652" s="2">
        <v>1999</v>
      </c>
      <c r="D652" s="2" t="s">
        <v>323</v>
      </c>
      <c r="E652" s="2" t="s">
        <v>47</v>
      </c>
      <c r="F652" s="2">
        <v>7.8</v>
      </c>
      <c r="G652" s="2">
        <v>71</v>
      </c>
      <c r="H652" s="2" t="s">
        <v>1633</v>
      </c>
      <c r="I652" s="2" t="s">
        <v>1038</v>
      </c>
      <c r="J652" s="2">
        <v>82855</v>
      </c>
      <c r="K652" s="3">
        <v>32481825</v>
      </c>
      <c r="L652">
        <f t="shared" si="20"/>
        <v>0</v>
      </c>
      <c r="N652">
        <f t="shared" si="21"/>
        <v>0</v>
      </c>
    </row>
    <row r="653" spans="1:14" ht="23.25">
      <c r="A653">
        <v>652</v>
      </c>
      <c r="B653" s="2" t="s">
        <v>1634</v>
      </c>
      <c r="C653" s="2">
        <v>2001</v>
      </c>
      <c r="D653" s="2" t="s">
        <v>1080</v>
      </c>
      <c r="E653" s="2" t="s">
        <v>110</v>
      </c>
      <c r="F653" s="2">
        <v>7.8</v>
      </c>
      <c r="G653" s="2">
        <v>84</v>
      </c>
      <c r="H653" s="2" t="s">
        <v>1635</v>
      </c>
      <c r="I653" s="2" t="s">
        <v>1636</v>
      </c>
      <c r="J653" s="2">
        <v>613941</v>
      </c>
      <c r="K653" s="3">
        <v>267665011</v>
      </c>
      <c r="L653">
        <f t="shared" si="20"/>
        <v>0</v>
      </c>
      <c r="N653">
        <f t="shared" si="21"/>
        <v>1</v>
      </c>
    </row>
    <row r="654" spans="1:14" ht="23.25">
      <c r="A654">
        <v>653</v>
      </c>
      <c r="B654" s="2" t="s">
        <v>1637</v>
      </c>
      <c r="C654" s="2">
        <v>1997</v>
      </c>
      <c r="D654" s="2" t="s">
        <v>1638</v>
      </c>
      <c r="E654" s="2" t="s">
        <v>60</v>
      </c>
      <c r="F654" s="2">
        <v>7.8</v>
      </c>
      <c r="G654" s="2">
        <v>75</v>
      </c>
      <c r="H654" s="2" t="s">
        <v>179</v>
      </c>
      <c r="I654" s="2" t="s">
        <v>52</v>
      </c>
      <c r="J654" s="2">
        <v>1046089</v>
      </c>
      <c r="K654" s="3">
        <v>659325379</v>
      </c>
      <c r="L654">
        <f t="shared" si="20"/>
        <v>0</v>
      </c>
      <c r="N654">
        <f t="shared" si="21"/>
        <v>1</v>
      </c>
    </row>
    <row r="655" spans="1:14" ht="25.5">
      <c r="A655">
        <v>654</v>
      </c>
      <c r="B655" s="2" t="s">
        <v>1639</v>
      </c>
      <c r="C655" s="2">
        <v>1997</v>
      </c>
      <c r="D655" s="2" t="s">
        <v>387</v>
      </c>
      <c r="E655" s="2" t="s">
        <v>22</v>
      </c>
      <c r="F655" s="2">
        <v>7.8</v>
      </c>
      <c r="G655" s="4" t="s">
        <v>90</v>
      </c>
      <c r="H655" s="2" t="s">
        <v>1640</v>
      </c>
      <c r="I655" s="2" t="s">
        <v>1640</v>
      </c>
      <c r="J655" s="2">
        <v>27712</v>
      </c>
      <c r="K655" s="3">
        <v>233986</v>
      </c>
      <c r="L655">
        <f t="shared" si="20"/>
        <v>0</v>
      </c>
      <c r="N655">
        <f t="shared" si="21"/>
        <v>0</v>
      </c>
    </row>
    <row r="656" spans="1:14" ht="23.25">
      <c r="A656">
        <v>655</v>
      </c>
      <c r="B656" s="2" t="s">
        <v>1641</v>
      </c>
      <c r="C656" s="2">
        <v>1997</v>
      </c>
      <c r="D656" s="2" t="s">
        <v>144</v>
      </c>
      <c r="E656" s="2" t="s">
        <v>60</v>
      </c>
      <c r="F656" s="2">
        <v>7.8</v>
      </c>
      <c r="G656" s="2">
        <v>64</v>
      </c>
      <c r="H656" s="2" t="s">
        <v>1642</v>
      </c>
      <c r="I656" s="2" t="s">
        <v>702</v>
      </c>
      <c r="J656" s="2">
        <v>280845</v>
      </c>
      <c r="K656" s="3">
        <v>12339633</v>
      </c>
      <c r="L656">
        <f t="shared" si="20"/>
        <v>0</v>
      </c>
      <c r="N656">
        <f t="shared" si="21"/>
        <v>0</v>
      </c>
    </row>
    <row r="657" spans="1:14" ht="23.25">
      <c r="A657">
        <v>656</v>
      </c>
      <c r="B657" s="2" t="s">
        <v>1643</v>
      </c>
      <c r="C657" s="2">
        <v>1997</v>
      </c>
      <c r="D657" s="2" t="s">
        <v>368</v>
      </c>
      <c r="E657" s="2" t="s">
        <v>27</v>
      </c>
      <c r="F657" s="2">
        <v>7.8</v>
      </c>
      <c r="G657" s="2">
        <v>61</v>
      </c>
      <c r="H657" s="2" t="s">
        <v>55</v>
      </c>
      <c r="I657" s="2" t="s">
        <v>1644</v>
      </c>
      <c r="J657" s="2">
        <v>345096</v>
      </c>
      <c r="K657" s="3">
        <v>48323648</v>
      </c>
      <c r="L657">
        <f t="shared" si="20"/>
        <v>0</v>
      </c>
      <c r="N657">
        <f t="shared" si="21"/>
        <v>0</v>
      </c>
    </row>
    <row r="658" spans="1:14" ht="23.25">
      <c r="A658">
        <v>657</v>
      </c>
      <c r="B658" s="2" t="s">
        <v>1645</v>
      </c>
      <c r="C658" s="2">
        <v>1996</v>
      </c>
      <c r="D658" s="2" t="s">
        <v>908</v>
      </c>
      <c r="E658" s="2" t="s">
        <v>17</v>
      </c>
      <c r="F658" s="2">
        <v>7.8</v>
      </c>
      <c r="G658" s="2">
        <v>76</v>
      </c>
      <c r="H658" s="2" t="s">
        <v>1032</v>
      </c>
      <c r="I658" s="2" t="s">
        <v>1646</v>
      </c>
      <c r="J658" s="2">
        <v>62428</v>
      </c>
      <c r="K658" s="3">
        <v>4040691</v>
      </c>
      <c r="L658">
        <f t="shared" si="20"/>
        <v>0</v>
      </c>
      <c r="N658">
        <f t="shared" si="21"/>
        <v>0</v>
      </c>
    </row>
    <row r="659" spans="1:14" ht="23.25">
      <c r="A659">
        <v>658</v>
      </c>
      <c r="B659" s="2" t="s">
        <v>1647</v>
      </c>
      <c r="C659" s="2">
        <v>1994</v>
      </c>
      <c r="D659" s="2" t="s">
        <v>120</v>
      </c>
      <c r="E659" s="2" t="s">
        <v>47</v>
      </c>
      <c r="F659" s="2">
        <v>7.8</v>
      </c>
      <c r="G659" s="2">
        <v>70</v>
      </c>
      <c r="H659" s="2" t="s">
        <v>1025</v>
      </c>
      <c r="I659" s="2" t="s">
        <v>1023</v>
      </c>
      <c r="J659" s="2">
        <v>164937</v>
      </c>
      <c r="K659" s="3">
        <v>5887457</v>
      </c>
      <c r="L659">
        <f t="shared" si="20"/>
        <v>0</v>
      </c>
      <c r="N659">
        <f t="shared" si="21"/>
        <v>0</v>
      </c>
    </row>
    <row r="660" spans="1:14" ht="23.25">
      <c r="A660">
        <v>659</v>
      </c>
      <c r="B660" s="2" t="s">
        <v>1648</v>
      </c>
      <c r="C660" s="2">
        <v>1993</v>
      </c>
      <c r="D660" s="2" t="s">
        <v>123</v>
      </c>
      <c r="E660" s="2" t="s">
        <v>17</v>
      </c>
      <c r="F660" s="2">
        <v>7.8</v>
      </c>
      <c r="G660" s="2">
        <v>73</v>
      </c>
      <c r="H660" s="2" t="s">
        <v>673</v>
      </c>
      <c r="I660" s="2" t="s">
        <v>1023</v>
      </c>
      <c r="J660" s="2">
        <v>215034</v>
      </c>
      <c r="K660" s="3">
        <v>9170214</v>
      </c>
      <c r="L660">
        <f t="shared" si="20"/>
        <v>0</v>
      </c>
      <c r="N660">
        <f t="shared" si="21"/>
        <v>0</v>
      </c>
    </row>
    <row r="661" spans="1:14" ht="23.25">
      <c r="A661">
        <v>660</v>
      </c>
      <c r="B661" s="2" t="s">
        <v>1649</v>
      </c>
      <c r="C661" s="2">
        <v>1993</v>
      </c>
      <c r="D661" s="2" t="s">
        <v>105</v>
      </c>
      <c r="E661" s="2" t="s">
        <v>27</v>
      </c>
      <c r="F661" s="2">
        <v>7.8</v>
      </c>
      <c r="G661" s="2">
        <v>50</v>
      </c>
      <c r="H661" s="2" t="s">
        <v>1650</v>
      </c>
      <c r="I661" s="2" t="s">
        <v>1651</v>
      </c>
      <c r="J661" s="2">
        <v>126871</v>
      </c>
      <c r="K661" s="3">
        <v>56505065</v>
      </c>
      <c r="L661">
        <f t="shared" si="20"/>
        <v>0</v>
      </c>
      <c r="N661">
        <f t="shared" si="21"/>
        <v>1</v>
      </c>
    </row>
    <row r="662" spans="1:14" ht="35.25">
      <c r="A662">
        <v>661</v>
      </c>
      <c r="B662" s="2" t="s">
        <v>1652</v>
      </c>
      <c r="C662" s="2">
        <v>1993</v>
      </c>
      <c r="D662" s="2" t="s">
        <v>253</v>
      </c>
      <c r="E662" s="2" t="s">
        <v>93</v>
      </c>
      <c r="F662" s="2">
        <v>7.8</v>
      </c>
      <c r="G662" s="2">
        <v>55</v>
      </c>
      <c r="H662" s="2" t="s">
        <v>1653</v>
      </c>
      <c r="I662" s="2" t="s">
        <v>1654</v>
      </c>
      <c r="J662" s="2">
        <v>78963</v>
      </c>
      <c r="K662" s="3">
        <v>32416586</v>
      </c>
      <c r="L662">
        <f t="shared" si="20"/>
        <v>0</v>
      </c>
      <c r="N662">
        <f t="shared" si="21"/>
        <v>0</v>
      </c>
    </row>
    <row r="663" spans="1:14" ht="23.25">
      <c r="A663">
        <v>662</v>
      </c>
      <c r="B663" s="2" t="s">
        <v>1655</v>
      </c>
      <c r="C663" s="2">
        <v>1993</v>
      </c>
      <c r="D663" s="2" t="s">
        <v>261</v>
      </c>
      <c r="E663" s="2" t="s">
        <v>60</v>
      </c>
      <c r="F663" s="2">
        <v>7.8</v>
      </c>
      <c r="G663" s="2">
        <v>84</v>
      </c>
      <c r="H663" s="2" t="s">
        <v>1656</v>
      </c>
      <c r="I663" s="2" t="s">
        <v>790</v>
      </c>
      <c r="J663" s="2">
        <v>66065</v>
      </c>
      <c r="K663" s="3">
        <v>22954968</v>
      </c>
      <c r="L663">
        <f t="shared" si="20"/>
        <v>0</v>
      </c>
      <c r="N663">
        <f t="shared" si="21"/>
        <v>0</v>
      </c>
    </row>
    <row r="664" spans="1:14" ht="23.25">
      <c r="A664">
        <v>663</v>
      </c>
      <c r="B664" s="2" t="s">
        <v>1657</v>
      </c>
      <c r="C664" s="2">
        <v>1993</v>
      </c>
      <c r="D664" s="2" t="s">
        <v>92</v>
      </c>
      <c r="E664" s="2" t="s">
        <v>93</v>
      </c>
      <c r="F664" s="2">
        <v>7.8</v>
      </c>
      <c r="G664" s="2">
        <v>84</v>
      </c>
      <c r="H664" s="2" t="s">
        <v>1061</v>
      </c>
      <c r="I664" s="2" t="s">
        <v>1658</v>
      </c>
      <c r="J664" s="2">
        <v>34635</v>
      </c>
      <c r="K664" s="3">
        <v>1769305</v>
      </c>
      <c r="L664">
        <f t="shared" si="20"/>
        <v>0</v>
      </c>
      <c r="N664">
        <f t="shared" si="21"/>
        <v>0</v>
      </c>
    </row>
    <row r="665" spans="1:14" ht="23.25">
      <c r="A665">
        <v>664</v>
      </c>
      <c r="B665" s="2" t="s">
        <v>1659</v>
      </c>
      <c r="C665" s="2">
        <v>1993</v>
      </c>
      <c r="D665" s="2" t="s">
        <v>105</v>
      </c>
      <c r="E665" s="2" t="s">
        <v>27</v>
      </c>
      <c r="F665" s="2">
        <v>7.8</v>
      </c>
      <c r="G665" s="2">
        <v>87</v>
      </c>
      <c r="H665" s="2" t="s">
        <v>1660</v>
      </c>
      <c r="I665" s="2" t="s">
        <v>267</v>
      </c>
      <c r="J665" s="2">
        <v>267684</v>
      </c>
      <c r="K665" s="3">
        <v>183875760</v>
      </c>
      <c r="L665">
        <f t="shared" si="20"/>
        <v>0</v>
      </c>
      <c r="N665">
        <f t="shared" si="21"/>
        <v>1</v>
      </c>
    </row>
    <row r="666" spans="1:14" ht="23.25">
      <c r="A666">
        <v>665</v>
      </c>
      <c r="B666" s="2" t="s">
        <v>1661</v>
      </c>
      <c r="C666" s="2">
        <v>1993</v>
      </c>
      <c r="D666" s="2" t="s">
        <v>127</v>
      </c>
      <c r="E666" s="2" t="s">
        <v>22</v>
      </c>
      <c r="F666" s="2">
        <v>7.8</v>
      </c>
      <c r="G666" s="2">
        <v>80</v>
      </c>
      <c r="H666" s="2" t="s">
        <v>77</v>
      </c>
      <c r="I666" s="2" t="s">
        <v>77</v>
      </c>
      <c r="J666" s="2">
        <v>128171</v>
      </c>
      <c r="K666" s="3">
        <v>17266971</v>
      </c>
      <c r="L666">
        <f t="shared" si="20"/>
        <v>0</v>
      </c>
      <c r="N666">
        <f t="shared" si="21"/>
        <v>0</v>
      </c>
    </row>
    <row r="667" spans="1:14" ht="35.25">
      <c r="A667">
        <v>666</v>
      </c>
      <c r="B667" s="2" t="s">
        <v>1662</v>
      </c>
      <c r="C667" s="2">
        <v>1993</v>
      </c>
      <c r="D667" s="2" t="s">
        <v>893</v>
      </c>
      <c r="E667" s="2" t="s">
        <v>110</v>
      </c>
      <c r="F667" s="2">
        <v>7.8</v>
      </c>
      <c r="G667" s="4" t="s">
        <v>90</v>
      </c>
      <c r="H667" s="2" t="s">
        <v>1663</v>
      </c>
      <c r="I667" s="2" t="s">
        <v>1664</v>
      </c>
      <c r="J667" s="2">
        <v>43690</v>
      </c>
      <c r="K667" s="3">
        <v>5617391</v>
      </c>
      <c r="L667">
        <f t="shared" si="20"/>
        <v>0</v>
      </c>
      <c r="N667">
        <f t="shared" si="21"/>
        <v>0</v>
      </c>
    </row>
    <row r="668" spans="1:14" ht="25.5">
      <c r="A668">
        <v>667</v>
      </c>
      <c r="B668" s="2" t="s">
        <v>1665</v>
      </c>
      <c r="C668" s="2">
        <v>1992</v>
      </c>
      <c r="D668" s="2" t="s">
        <v>385</v>
      </c>
      <c r="E668" s="2" t="s">
        <v>27</v>
      </c>
      <c r="F668" s="2">
        <v>7.8</v>
      </c>
      <c r="G668" s="4" t="s">
        <v>90</v>
      </c>
      <c r="H668" s="2" t="s">
        <v>1666</v>
      </c>
      <c r="I668" s="2" t="s">
        <v>1625</v>
      </c>
      <c r="J668" s="2">
        <v>46700</v>
      </c>
      <c r="K668" s="4" t="s">
        <v>90</v>
      </c>
      <c r="L668">
        <f t="shared" si="20"/>
        <v>0</v>
      </c>
      <c r="N668">
        <f t="shared" si="21"/>
        <v>1</v>
      </c>
    </row>
    <row r="669" spans="1:14" ht="23.25">
      <c r="A669">
        <v>668</v>
      </c>
      <c r="B669" s="2" t="s">
        <v>1667</v>
      </c>
      <c r="C669" s="2">
        <v>1991</v>
      </c>
      <c r="D669" s="2" t="s">
        <v>368</v>
      </c>
      <c r="E669" s="2" t="s">
        <v>93</v>
      </c>
      <c r="F669" s="2">
        <v>7.8</v>
      </c>
      <c r="G669" s="2">
        <v>68</v>
      </c>
      <c r="H669" s="2" t="s">
        <v>1668</v>
      </c>
      <c r="I669" s="2" t="s">
        <v>1669</v>
      </c>
      <c r="J669" s="2">
        <v>55362</v>
      </c>
      <c r="K669" s="3">
        <v>2015810</v>
      </c>
      <c r="L669">
        <f t="shared" si="20"/>
        <v>0</v>
      </c>
      <c r="N669">
        <f t="shared" si="21"/>
        <v>0</v>
      </c>
    </row>
    <row r="670" spans="1:14" ht="23.25">
      <c r="A670">
        <v>669</v>
      </c>
      <c r="B670" s="2" t="s">
        <v>1670</v>
      </c>
      <c r="C670" s="2">
        <v>1991</v>
      </c>
      <c r="D670" s="2" t="s">
        <v>246</v>
      </c>
      <c r="E670" s="2" t="s">
        <v>60</v>
      </c>
      <c r="F670" s="2">
        <v>7.8</v>
      </c>
      <c r="G670" s="2">
        <v>86</v>
      </c>
      <c r="H670" s="2" t="s">
        <v>748</v>
      </c>
      <c r="I670" s="2" t="s">
        <v>749</v>
      </c>
      <c r="J670" s="2">
        <v>42376</v>
      </c>
      <c r="K670" s="3">
        <v>1999955</v>
      </c>
      <c r="L670">
        <f t="shared" si="20"/>
        <v>0</v>
      </c>
      <c r="N670">
        <f t="shared" si="21"/>
        <v>0</v>
      </c>
    </row>
    <row r="671" spans="1:14" ht="23.25">
      <c r="A671">
        <v>670</v>
      </c>
      <c r="B671" s="2" t="s">
        <v>1671</v>
      </c>
      <c r="C671" s="2">
        <v>1991</v>
      </c>
      <c r="D671" s="2" t="s">
        <v>148</v>
      </c>
      <c r="E671" s="2" t="s">
        <v>22</v>
      </c>
      <c r="F671" s="2">
        <v>7.8</v>
      </c>
      <c r="G671" s="2">
        <v>76</v>
      </c>
      <c r="H671" s="2" t="s">
        <v>1672</v>
      </c>
      <c r="I671" s="2" t="s">
        <v>1673</v>
      </c>
      <c r="J671" s="2">
        <v>126082</v>
      </c>
      <c r="K671" s="3">
        <v>57504069</v>
      </c>
      <c r="L671">
        <f t="shared" si="20"/>
        <v>0</v>
      </c>
      <c r="N671">
        <f t="shared" si="21"/>
        <v>1</v>
      </c>
    </row>
    <row r="672" spans="1:14" ht="14.25">
      <c r="A672">
        <v>671</v>
      </c>
      <c r="B672" s="2" t="s">
        <v>1674</v>
      </c>
      <c r="C672" s="2">
        <v>1990</v>
      </c>
      <c r="D672" s="2" t="s">
        <v>396</v>
      </c>
      <c r="E672" s="2" t="s">
        <v>60</v>
      </c>
      <c r="F672" s="2">
        <v>7.8</v>
      </c>
      <c r="G672" s="2">
        <v>75</v>
      </c>
      <c r="H672" s="2" t="s">
        <v>765</v>
      </c>
      <c r="I672" s="2" t="s">
        <v>1675</v>
      </c>
      <c r="J672" s="2">
        <v>184740</v>
      </c>
      <c r="K672" s="3">
        <v>61276872</v>
      </c>
      <c r="L672">
        <f t="shared" si="20"/>
        <v>0</v>
      </c>
      <c r="N672">
        <f t="shared" si="21"/>
        <v>1</v>
      </c>
    </row>
    <row r="673" spans="1:14" ht="23.25">
      <c r="A673">
        <v>672</v>
      </c>
      <c r="B673" s="2" t="s">
        <v>1676</v>
      </c>
      <c r="C673" s="2">
        <v>1990</v>
      </c>
      <c r="D673" s="2" t="s">
        <v>127</v>
      </c>
      <c r="E673" s="2" t="s">
        <v>47</v>
      </c>
      <c r="F673" s="2">
        <v>7.8</v>
      </c>
      <c r="G673" s="2">
        <v>74</v>
      </c>
      <c r="H673" s="2" t="s">
        <v>1677</v>
      </c>
      <c r="I673" s="2" t="s">
        <v>77</v>
      </c>
      <c r="J673" s="2">
        <v>125276</v>
      </c>
      <c r="K673" s="3">
        <v>52096475</v>
      </c>
      <c r="L673">
        <f t="shared" si="20"/>
        <v>0</v>
      </c>
      <c r="N673">
        <f t="shared" si="21"/>
        <v>1</v>
      </c>
    </row>
    <row r="674" spans="1:14" ht="25.5">
      <c r="A674">
        <v>673</v>
      </c>
      <c r="B674" s="2" t="s">
        <v>1678</v>
      </c>
      <c r="C674" s="2">
        <v>1989</v>
      </c>
      <c r="D674" s="2" t="s">
        <v>387</v>
      </c>
      <c r="E674" s="2" t="s">
        <v>110</v>
      </c>
      <c r="F674" s="2">
        <v>7.8</v>
      </c>
      <c r="G674" s="2">
        <v>83</v>
      </c>
      <c r="H674" s="2" t="s">
        <v>111</v>
      </c>
      <c r="I674" s="2" t="s">
        <v>1679</v>
      </c>
      <c r="J674" s="2">
        <v>124193</v>
      </c>
      <c r="K674" s="4" t="s">
        <v>90</v>
      </c>
      <c r="L674">
        <f t="shared" si="20"/>
        <v>0</v>
      </c>
      <c r="N674">
        <f t="shared" si="21"/>
        <v>1</v>
      </c>
    </row>
    <row r="675" spans="1:14" ht="23.25">
      <c r="A675">
        <v>674</v>
      </c>
      <c r="B675" s="2" t="s">
        <v>1680</v>
      </c>
      <c r="C675" s="2">
        <v>1989</v>
      </c>
      <c r="D675" s="2" t="s">
        <v>140</v>
      </c>
      <c r="E675" s="2" t="s">
        <v>47</v>
      </c>
      <c r="F675" s="2">
        <v>7.8</v>
      </c>
      <c r="G675" s="2">
        <v>78</v>
      </c>
      <c r="H675" s="2" t="s">
        <v>986</v>
      </c>
      <c r="I675" s="2" t="s">
        <v>1681</v>
      </c>
      <c r="J675" s="2">
        <v>122779</v>
      </c>
      <c r="K675" s="3">
        <v>26830000</v>
      </c>
      <c r="L675">
        <f t="shared" si="20"/>
        <v>0</v>
      </c>
      <c r="N675">
        <f t="shared" si="21"/>
        <v>0</v>
      </c>
    </row>
    <row r="676" spans="1:14" ht="25.5">
      <c r="A676">
        <v>675</v>
      </c>
      <c r="B676" s="2" t="s">
        <v>1682</v>
      </c>
      <c r="C676" s="2">
        <v>1989</v>
      </c>
      <c r="D676" s="2" t="s">
        <v>708</v>
      </c>
      <c r="E676" s="2" t="s">
        <v>27</v>
      </c>
      <c r="F676" s="2">
        <v>7.8</v>
      </c>
      <c r="G676" s="2">
        <v>82</v>
      </c>
      <c r="H676" s="2" t="s">
        <v>1666</v>
      </c>
      <c r="I676" s="2" t="s">
        <v>1625</v>
      </c>
      <c r="J676" s="2">
        <v>45624</v>
      </c>
      <c r="K676" s="4" t="s">
        <v>90</v>
      </c>
      <c r="L676">
        <f t="shared" si="20"/>
        <v>0</v>
      </c>
      <c r="N676">
        <f t="shared" si="21"/>
        <v>1</v>
      </c>
    </row>
    <row r="677" spans="1:14" ht="23.25">
      <c r="A677">
        <v>676</v>
      </c>
      <c r="B677" s="2" t="s">
        <v>1683</v>
      </c>
      <c r="C677" s="2">
        <v>1989</v>
      </c>
      <c r="D677" s="2" t="s">
        <v>323</v>
      </c>
      <c r="E677" s="2" t="s">
        <v>102</v>
      </c>
      <c r="F677" s="2">
        <v>7.8</v>
      </c>
      <c r="G677" s="2">
        <v>57</v>
      </c>
      <c r="H677" s="2" t="s">
        <v>61</v>
      </c>
      <c r="I677" s="2" t="s">
        <v>189</v>
      </c>
      <c r="J677" s="2">
        <v>481918</v>
      </c>
      <c r="K677" s="3">
        <v>118500000</v>
      </c>
      <c r="L677">
        <f t="shared" si="20"/>
        <v>0</v>
      </c>
      <c r="N677">
        <f t="shared" si="21"/>
        <v>1</v>
      </c>
    </row>
    <row r="678" spans="1:14" ht="23.25">
      <c r="A678">
        <v>677</v>
      </c>
      <c r="B678" s="2" t="s">
        <v>1684</v>
      </c>
      <c r="C678" s="2">
        <v>1988</v>
      </c>
      <c r="D678" s="2" t="s">
        <v>385</v>
      </c>
      <c r="E678" s="2" t="s">
        <v>22</v>
      </c>
      <c r="F678" s="2">
        <v>7.8</v>
      </c>
      <c r="G678" s="2">
        <v>65</v>
      </c>
      <c r="H678" s="2" t="s">
        <v>779</v>
      </c>
      <c r="I678" s="2" t="s">
        <v>1685</v>
      </c>
      <c r="J678" s="2">
        <v>88214</v>
      </c>
      <c r="K678" s="3">
        <v>34603943</v>
      </c>
      <c r="L678">
        <f t="shared" si="20"/>
        <v>0</v>
      </c>
      <c r="N678">
        <f t="shared" si="21"/>
        <v>0</v>
      </c>
    </row>
    <row r="679" spans="1:14" ht="35.25">
      <c r="A679">
        <v>678</v>
      </c>
      <c r="B679" s="2" t="s">
        <v>1686</v>
      </c>
      <c r="C679" s="2">
        <v>1987</v>
      </c>
      <c r="D679" s="2" t="s">
        <v>396</v>
      </c>
      <c r="E679" s="2" t="s">
        <v>27</v>
      </c>
      <c r="F679" s="2">
        <v>7.8</v>
      </c>
      <c r="G679" s="2">
        <v>45</v>
      </c>
      <c r="H679" s="2" t="s">
        <v>522</v>
      </c>
      <c r="I679" s="2" t="s">
        <v>180</v>
      </c>
      <c r="J679" s="2">
        <v>371387</v>
      </c>
      <c r="K679" s="3">
        <v>59735548</v>
      </c>
      <c r="L679">
        <f t="shared" si="20"/>
        <v>0</v>
      </c>
      <c r="N679">
        <f t="shared" si="21"/>
        <v>1</v>
      </c>
    </row>
    <row r="680" spans="1:14" ht="23.25">
      <c r="A680">
        <v>679</v>
      </c>
      <c r="B680" s="2" t="s">
        <v>1687</v>
      </c>
      <c r="C680" s="2">
        <v>1987</v>
      </c>
      <c r="D680" s="2" t="s">
        <v>1086</v>
      </c>
      <c r="E680" s="2" t="s">
        <v>27</v>
      </c>
      <c r="F680" s="2">
        <v>7.8</v>
      </c>
      <c r="G680" s="2">
        <v>72</v>
      </c>
      <c r="H680" s="2" t="s">
        <v>1688</v>
      </c>
      <c r="I680" s="2" t="s">
        <v>1689</v>
      </c>
      <c r="J680" s="2">
        <v>148359</v>
      </c>
      <c r="K680" s="3">
        <v>5923044</v>
      </c>
      <c r="L680">
        <f t="shared" si="20"/>
        <v>0</v>
      </c>
      <c r="N680">
        <f t="shared" si="21"/>
        <v>0</v>
      </c>
    </row>
    <row r="681" spans="1:14" ht="23.25">
      <c r="A681">
        <v>680</v>
      </c>
      <c r="B681" s="2" t="s">
        <v>1690</v>
      </c>
      <c r="C681" s="2">
        <v>1986</v>
      </c>
      <c r="D681" s="2" t="s">
        <v>387</v>
      </c>
      <c r="E681" s="2" t="s">
        <v>281</v>
      </c>
      <c r="F681" s="2">
        <v>7.8</v>
      </c>
      <c r="G681" s="2">
        <v>61</v>
      </c>
      <c r="H681" s="2" t="s">
        <v>1691</v>
      </c>
      <c r="I681" s="2" t="s">
        <v>1681</v>
      </c>
      <c r="J681" s="2">
        <v>321382</v>
      </c>
      <c r="K681" s="3">
        <v>70136369</v>
      </c>
      <c r="L681">
        <f t="shared" si="20"/>
        <v>0</v>
      </c>
      <c r="N681">
        <f t="shared" si="21"/>
        <v>1</v>
      </c>
    </row>
    <row r="682" spans="1:14" ht="23.25">
      <c r="A682">
        <v>681</v>
      </c>
      <c r="B682" s="2" t="s">
        <v>1692</v>
      </c>
      <c r="C682" s="2">
        <v>1986</v>
      </c>
      <c r="D682" s="2" t="s">
        <v>396</v>
      </c>
      <c r="E682" s="2" t="s">
        <v>93</v>
      </c>
      <c r="F682" s="2">
        <v>7.8</v>
      </c>
      <c r="G682" s="2">
        <v>75</v>
      </c>
      <c r="H682" s="2" t="s">
        <v>1668</v>
      </c>
      <c r="I682" s="2" t="s">
        <v>1693</v>
      </c>
      <c r="J682" s="2">
        <v>47834</v>
      </c>
      <c r="K682" s="3">
        <v>1436000</v>
      </c>
      <c r="L682">
        <f t="shared" si="20"/>
        <v>0</v>
      </c>
      <c r="N682">
        <f t="shared" si="21"/>
        <v>0</v>
      </c>
    </row>
    <row r="683" spans="1:14" ht="23.25">
      <c r="A683">
        <v>682</v>
      </c>
      <c r="B683" s="2" t="s">
        <v>1694</v>
      </c>
      <c r="C683" s="2">
        <v>1985</v>
      </c>
      <c r="D683" s="2" t="s">
        <v>366</v>
      </c>
      <c r="E683" s="2" t="s">
        <v>102</v>
      </c>
      <c r="F683" s="2">
        <v>7.8</v>
      </c>
      <c r="G683" s="2">
        <v>62</v>
      </c>
      <c r="H683" s="2" t="s">
        <v>1695</v>
      </c>
      <c r="I683" s="2" t="s">
        <v>1696</v>
      </c>
      <c r="J683" s="2">
        <v>244430</v>
      </c>
      <c r="K683" s="3">
        <v>61503218</v>
      </c>
      <c r="L683">
        <f t="shared" si="20"/>
        <v>0</v>
      </c>
      <c r="N683">
        <f t="shared" si="21"/>
        <v>1</v>
      </c>
    </row>
    <row r="684" spans="1:14" ht="23.25">
      <c r="A684">
        <v>683</v>
      </c>
      <c r="B684" s="2" t="s">
        <v>1697</v>
      </c>
      <c r="C684" s="2">
        <v>1985</v>
      </c>
      <c r="D684" s="2" t="s">
        <v>42</v>
      </c>
      <c r="E684" s="2" t="s">
        <v>17</v>
      </c>
      <c r="F684" s="2">
        <v>7.8</v>
      </c>
      <c r="G684" s="2">
        <v>78</v>
      </c>
      <c r="H684" s="2" t="s">
        <v>48</v>
      </c>
      <c r="I684" s="2" t="s">
        <v>1698</v>
      </c>
      <c r="J684" s="2">
        <v>78321</v>
      </c>
      <c r="K684" s="3">
        <v>98467863</v>
      </c>
      <c r="L684">
        <f t="shared" si="20"/>
        <v>0</v>
      </c>
      <c r="N684">
        <f t="shared" si="21"/>
        <v>1</v>
      </c>
    </row>
    <row r="685" spans="1:14" ht="23.25">
      <c r="A685">
        <v>684</v>
      </c>
      <c r="B685" s="2" t="s">
        <v>1699</v>
      </c>
      <c r="C685" s="2">
        <v>1985</v>
      </c>
      <c r="D685" s="2" t="s">
        <v>1191</v>
      </c>
      <c r="E685" s="2" t="s">
        <v>93</v>
      </c>
      <c r="F685" s="2">
        <v>7.8</v>
      </c>
      <c r="G685" s="2">
        <v>66</v>
      </c>
      <c r="H685" s="2" t="s">
        <v>1691</v>
      </c>
      <c r="I685" s="2" t="s">
        <v>1700</v>
      </c>
      <c r="J685" s="2">
        <v>357026</v>
      </c>
      <c r="K685" s="3">
        <v>45875171</v>
      </c>
      <c r="L685">
        <f t="shared" si="20"/>
        <v>0</v>
      </c>
      <c r="N685">
        <f t="shared" si="21"/>
        <v>0</v>
      </c>
    </row>
    <row r="686" spans="1:14" ht="23.25">
      <c r="A686">
        <v>685</v>
      </c>
      <c r="B686" s="2" t="s">
        <v>1701</v>
      </c>
      <c r="C686" s="2">
        <v>1984</v>
      </c>
      <c r="D686" s="2" t="s">
        <v>712</v>
      </c>
      <c r="E686" s="2" t="s">
        <v>47</v>
      </c>
      <c r="F686" s="2">
        <v>7.8</v>
      </c>
      <c r="G686" s="2">
        <v>76</v>
      </c>
      <c r="H686" s="2" t="s">
        <v>1702</v>
      </c>
      <c r="I686" s="2" t="s">
        <v>1703</v>
      </c>
      <c r="J686" s="2">
        <v>51585</v>
      </c>
      <c r="K686" s="3">
        <v>34700291</v>
      </c>
      <c r="L686">
        <f t="shared" si="20"/>
        <v>0</v>
      </c>
      <c r="N686">
        <f t="shared" si="21"/>
        <v>0</v>
      </c>
    </row>
    <row r="687" spans="1:14" ht="23.25">
      <c r="A687">
        <v>686</v>
      </c>
      <c r="B687" s="2" t="s">
        <v>1704</v>
      </c>
      <c r="C687" s="2">
        <v>1984</v>
      </c>
      <c r="D687" s="2" t="s">
        <v>233</v>
      </c>
      <c r="E687" s="2" t="s">
        <v>27</v>
      </c>
      <c r="F687" s="2">
        <v>7.8</v>
      </c>
      <c r="G687" s="2">
        <v>71</v>
      </c>
      <c r="H687" s="2" t="s">
        <v>1705</v>
      </c>
      <c r="I687" s="2" t="s">
        <v>1073</v>
      </c>
      <c r="J687" s="2">
        <v>355413</v>
      </c>
      <c r="K687" s="3">
        <v>238632124</v>
      </c>
      <c r="L687">
        <f t="shared" si="20"/>
        <v>0</v>
      </c>
      <c r="N687">
        <f t="shared" si="21"/>
        <v>1</v>
      </c>
    </row>
    <row r="688" spans="1:14" ht="23.25">
      <c r="A688">
        <v>687</v>
      </c>
      <c r="B688" s="2" t="s">
        <v>1706</v>
      </c>
      <c r="C688" s="2">
        <v>1983</v>
      </c>
      <c r="D688" s="2" t="s">
        <v>1707</v>
      </c>
      <c r="E688" s="2" t="s">
        <v>102</v>
      </c>
      <c r="F688" s="2">
        <v>7.8</v>
      </c>
      <c r="G688" s="2">
        <v>91</v>
      </c>
      <c r="H688" s="2" t="s">
        <v>1708</v>
      </c>
      <c r="I688" s="2" t="s">
        <v>1709</v>
      </c>
      <c r="J688" s="2">
        <v>56235</v>
      </c>
      <c r="K688" s="3">
        <v>21500000</v>
      </c>
      <c r="L688">
        <f t="shared" si="20"/>
        <v>0</v>
      </c>
      <c r="N688">
        <f t="shared" si="21"/>
        <v>0</v>
      </c>
    </row>
    <row r="689" spans="1:14" ht="23.25">
      <c r="A689">
        <v>688</v>
      </c>
      <c r="B689" s="2" t="s">
        <v>1710</v>
      </c>
      <c r="C689" s="2">
        <v>1982</v>
      </c>
      <c r="D689" s="2" t="s">
        <v>193</v>
      </c>
      <c r="E689" s="2" t="s">
        <v>93</v>
      </c>
      <c r="F689" s="2">
        <v>7.8</v>
      </c>
      <c r="G689" s="2">
        <v>73</v>
      </c>
      <c r="H689" s="2" t="s">
        <v>76</v>
      </c>
      <c r="I689" s="2" t="s">
        <v>77</v>
      </c>
      <c r="J689" s="2">
        <v>88511</v>
      </c>
      <c r="K689" s="3">
        <v>2500000</v>
      </c>
      <c r="L689">
        <f t="shared" si="20"/>
        <v>0</v>
      </c>
      <c r="N689">
        <f t="shared" si="21"/>
        <v>0</v>
      </c>
    </row>
    <row r="690" spans="1:14" ht="23.25">
      <c r="A690">
        <v>689</v>
      </c>
      <c r="B690" s="2" t="s">
        <v>1711</v>
      </c>
      <c r="C690" s="2">
        <v>1982</v>
      </c>
      <c r="D690" s="2" t="s">
        <v>266</v>
      </c>
      <c r="E690" s="2" t="s">
        <v>1712</v>
      </c>
      <c r="F690" s="2">
        <v>7.8</v>
      </c>
      <c r="G690" s="2">
        <v>91</v>
      </c>
      <c r="H690" s="2" t="s">
        <v>48</v>
      </c>
      <c r="I690" s="2" t="s">
        <v>1713</v>
      </c>
      <c r="J690" s="2">
        <v>372490</v>
      </c>
      <c r="K690" s="3">
        <v>435110554</v>
      </c>
      <c r="L690">
        <f t="shared" si="20"/>
        <v>0</v>
      </c>
      <c r="N690">
        <f t="shared" si="21"/>
        <v>1</v>
      </c>
    </row>
    <row r="691" spans="1:14" ht="23.25">
      <c r="A691">
        <v>690</v>
      </c>
      <c r="B691" s="2" t="s">
        <v>1714</v>
      </c>
      <c r="C691" s="2">
        <v>1979</v>
      </c>
      <c r="D691" s="2" t="s">
        <v>233</v>
      </c>
      <c r="E691" s="2" t="s">
        <v>17</v>
      </c>
      <c r="F691" s="2">
        <v>7.8</v>
      </c>
      <c r="G691" s="2">
        <v>77</v>
      </c>
      <c r="H691" s="2" t="s">
        <v>1715</v>
      </c>
      <c r="I691" s="2" t="s">
        <v>1095</v>
      </c>
      <c r="J691" s="2">
        <v>133351</v>
      </c>
      <c r="K691" s="3">
        <v>106260000</v>
      </c>
      <c r="L691">
        <f t="shared" si="20"/>
        <v>0</v>
      </c>
      <c r="N691">
        <f t="shared" si="21"/>
        <v>1</v>
      </c>
    </row>
    <row r="692" spans="1:14" ht="25.5">
      <c r="A692">
        <v>691</v>
      </c>
      <c r="B692" s="2" t="s">
        <v>1716</v>
      </c>
      <c r="C692" s="2">
        <v>1978</v>
      </c>
      <c r="D692" s="2" t="s">
        <v>792</v>
      </c>
      <c r="E692" s="2" t="s">
        <v>60</v>
      </c>
      <c r="F692" s="2">
        <v>7.8</v>
      </c>
      <c r="G692" s="2">
        <v>93</v>
      </c>
      <c r="H692" s="2" t="s">
        <v>1717</v>
      </c>
      <c r="I692" s="2" t="s">
        <v>674</v>
      </c>
      <c r="J692" s="2">
        <v>52852</v>
      </c>
      <c r="K692" s="4" t="s">
        <v>90</v>
      </c>
      <c r="L692">
        <f t="shared" si="20"/>
        <v>0</v>
      </c>
      <c r="N692">
        <f t="shared" si="21"/>
        <v>1</v>
      </c>
    </row>
    <row r="693" spans="1:14" ht="23.25">
      <c r="A693">
        <v>692</v>
      </c>
      <c r="B693" s="2" t="s">
        <v>1718</v>
      </c>
      <c r="C693" s="2">
        <v>1976</v>
      </c>
      <c r="D693" s="2" t="s">
        <v>454</v>
      </c>
      <c r="E693" s="2" t="s">
        <v>65</v>
      </c>
      <c r="F693" s="2">
        <v>7.8</v>
      </c>
      <c r="G693" s="2">
        <v>69</v>
      </c>
      <c r="H693" s="2" t="s">
        <v>67</v>
      </c>
      <c r="I693" s="2" t="s">
        <v>67</v>
      </c>
      <c r="J693" s="2">
        <v>65659</v>
      </c>
      <c r="K693" s="3">
        <v>31800000</v>
      </c>
      <c r="L693">
        <f t="shared" si="20"/>
        <v>0</v>
      </c>
      <c r="N693">
        <f t="shared" si="21"/>
        <v>0</v>
      </c>
    </row>
    <row r="694" spans="1:14" ht="25.5">
      <c r="A694">
        <v>693</v>
      </c>
      <c r="B694" s="2" t="s">
        <v>1719</v>
      </c>
      <c r="C694" s="2">
        <v>1975</v>
      </c>
      <c r="D694" s="2" t="s">
        <v>368</v>
      </c>
      <c r="E694" s="2" t="s">
        <v>102</v>
      </c>
      <c r="F694" s="2">
        <v>7.8</v>
      </c>
      <c r="G694" s="2">
        <v>91</v>
      </c>
      <c r="H694" s="2" t="s">
        <v>575</v>
      </c>
      <c r="I694" s="2" t="s">
        <v>1720</v>
      </c>
      <c r="J694" s="2">
        <v>44917</v>
      </c>
      <c r="K694" s="4" t="s">
        <v>90</v>
      </c>
      <c r="L694">
        <f t="shared" si="20"/>
        <v>0</v>
      </c>
      <c r="N694">
        <f t="shared" si="21"/>
        <v>1</v>
      </c>
    </row>
    <row r="695" spans="1:14" ht="23.25">
      <c r="A695">
        <v>694</v>
      </c>
      <c r="B695" s="2" t="s">
        <v>1721</v>
      </c>
      <c r="C695" s="2">
        <v>1974</v>
      </c>
      <c r="D695" s="2" t="s">
        <v>257</v>
      </c>
      <c r="E695" s="2" t="s">
        <v>60</v>
      </c>
      <c r="F695" s="2">
        <v>7.8</v>
      </c>
      <c r="G695" s="2">
        <v>85</v>
      </c>
      <c r="H695" s="2" t="s">
        <v>23</v>
      </c>
      <c r="I695" s="2" t="s">
        <v>1685</v>
      </c>
      <c r="J695" s="2">
        <v>98611</v>
      </c>
      <c r="K695" s="3">
        <v>4420000</v>
      </c>
      <c r="L695">
        <f t="shared" si="20"/>
        <v>0</v>
      </c>
      <c r="N695">
        <f t="shared" si="21"/>
        <v>0</v>
      </c>
    </row>
    <row r="696" spans="1:14" ht="23.25">
      <c r="A696">
        <v>695</v>
      </c>
      <c r="B696" s="2" t="s">
        <v>1722</v>
      </c>
      <c r="C696" s="2">
        <v>1973</v>
      </c>
      <c r="D696" s="2" t="s">
        <v>885</v>
      </c>
      <c r="E696" s="2" t="s">
        <v>110</v>
      </c>
      <c r="F696" s="2">
        <v>7.8</v>
      </c>
      <c r="G696" s="2">
        <v>73</v>
      </c>
      <c r="H696" s="2" t="s">
        <v>1723</v>
      </c>
      <c r="I696" s="2" t="s">
        <v>1724</v>
      </c>
      <c r="J696" s="2">
        <v>25229</v>
      </c>
      <c r="K696" s="3">
        <v>193817</v>
      </c>
      <c r="L696">
        <f t="shared" si="20"/>
        <v>0</v>
      </c>
      <c r="N696">
        <f t="shared" si="21"/>
        <v>0</v>
      </c>
    </row>
    <row r="697" spans="1:14" ht="23.25">
      <c r="A697">
        <v>696</v>
      </c>
      <c r="B697" s="2" t="s">
        <v>1725</v>
      </c>
      <c r="C697" s="2">
        <v>1973</v>
      </c>
      <c r="D697" s="2" t="s">
        <v>278</v>
      </c>
      <c r="E697" s="2" t="s">
        <v>22</v>
      </c>
      <c r="F697" s="2">
        <v>7.8</v>
      </c>
      <c r="G697" s="2">
        <v>80</v>
      </c>
      <c r="H697" s="2" t="s">
        <v>1421</v>
      </c>
      <c r="I697" s="2" t="s">
        <v>1726</v>
      </c>
      <c r="J697" s="2">
        <v>37445</v>
      </c>
      <c r="K697" s="3">
        <v>16056255</v>
      </c>
      <c r="L697">
        <f t="shared" si="20"/>
        <v>0</v>
      </c>
      <c r="N697">
        <f t="shared" si="21"/>
        <v>0</v>
      </c>
    </row>
    <row r="698" spans="1:14" ht="25.5">
      <c r="A698">
        <v>697</v>
      </c>
      <c r="B698" s="2" t="s">
        <v>1727</v>
      </c>
      <c r="C698" s="2">
        <v>1973</v>
      </c>
      <c r="D698" s="2" t="s">
        <v>792</v>
      </c>
      <c r="E698" s="2" t="s">
        <v>27</v>
      </c>
      <c r="F698" s="2">
        <v>7.8</v>
      </c>
      <c r="G698" s="2">
        <v>93</v>
      </c>
      <c r="H698" s="2" t="s">
        <v>1717</v>
      </c>
      <c r="I698" s="2" t="s">
        <v>271</v>
      </c>
      <c r="J698" s="2">
        <v>66009</v>
      </c>
      <c r="K698" s="4" t="s">
        <v>90</v>
      </c>
      <c r="L698">
        <f t="shared" si="20"/>
        <v>0</v>
      </c>
      <c r="N698">
        <f t="shared" si="21"/>
        <v>1</v>
      </c>
    </row>
    <row r="699" spans="1:14" ht="23.25">
      <c r="A699">
        <v>698</v>
      </c>
      <c r="B699" s="2" t="s">
        <v>1728</v>
      </c>
      <c r="C699" s="2">
        <v>1972</v>
      </c>
      <c r="D699" s="2" t="s">
        <v>79</v>
      </c>
      <c r="E699" s="2" t="s">
        <v>60</v>
      </c>
      <c r="F699" s="2">
        <v>7.8</v>
      </c>
      <c r="G699" s="2">
        <v>80</v>
      </c>
      <c r="H699" s="2" t="s">
        <v>1378</v>
      </c>
      <c r="I699" s="2" t="s">
        <v>1729</v>
      </c>
      <c r="J699" s="2">
        <v>48334</v>
      </c>
      <c r="K699" s="3">
        <v>42765000</v>
      </c>
      <c r="L699">
        <f t="shared" si="20"/>
        <v>0</v>
      </c>
      <c r="N699">
        <f t="shared" si="21"/>
        <v>0</v>
      </c>
    </row>
    <row r="700" spans="1:14" ht="35.25">
      <c r="A700">
        <v>699</v>
      </c>
      <c r="B700" s="2" t="s">
        <v>1730</v>
      </c>
      <c r="C700" s="2">
        <v>1971</v>
      </c>
      <c r="D700" s="2" t="s">
        <v>614</v>
      </c>
      <c r="E700" s="2" t="s">
        <v>1712</v>
      </c>
      <c r="F700" s="2">
        <v>7.8</v>
      </c>
      <c r="G700" s="2">
        <v>67</v>
      </c>
      <c r="H700" s="2" t="s">
        <v>1731</v>
      </c>
      <c r="I700" s="2" t="s">
        <v>1122</v>
      </c>
      <c r="J700" s="2">
        <v>178731</v>
      </c>
      <c r="K700" s="3">
        <v>4000000</v>
      </c>
      <c r="L700">
        <f t="shared" si="20"/>
        <v>0</v>
      </c>
      <c r="N700">
        <f t="shared" si="21"/>
        <v>0</v>
      </c>
    </row>
    <row r="701" spans="1:14" ht="23.25">
      <c r="A701">
        <v>700</v>
      </c>
      <c r="B701" s="2" t="s">
        <v>1732</v>
      </c>
      <c r="C701" s="2">
        <v>1969</v>
      </c>
      <c r="D701" s="2" t="s">
        <v>257</v>
      </c>
      <c r="E701" s="2" t="s">
        <v>17</v>
      </c>
      <c r="F701" s="2">
        <v>7.8</v>
      </c>
      <c r="G701" s="2">
        <v>79</v>
      </c>
      <c r="H701" s="2" t="s">
        <v>1733</v>
      </c>
      <c r="I701" s="2" t="s">
        <v>1095</v>
      </c>
      <c r="J701" s="2">
        <v>101124</v>
      </c>
      <c r="K701" s="3">
        <v>44785053</v>
      </c>
      <c r="L701">
        <f t="shared" si="20"/>
        <v>0</v>
      </c>
      <c r="N701">
        <f t="shared" si="21"/>
        <v>0</v>
      </c>
    </row>
    <row r="702" spans="1:14" ht="23.25">
      <c r="A702">
        <v>701</v>
      </c>
      <c r="B702" s="2" t="s">
        <v>1734</v>
      </c>
      <c r="C702" s="2">
        <v>1967</v>
      </c>
      <c r="D702" s="2" t="s">
        <v>323</v>
      </c>
      <c r="E702" s="2" t="s">
        <v>1735</v>
      </c>
      <c r="F702" s="2">
        <v>7.8</v>
      </c>
      <c r="G702" s="2">
        <v>81</v>
      </c>
      <c r="H702" s="2" t="s">
        <v>1736</v>
      </c>
      <c r="I702" s="2" t="s">
        <v>1737</v>
      </c>
      <c r="J702" s="2">
        <v>27733</v>
      </c>
      <c r="K702" s="3">
        <v>17550741</v>
      </c>
      <c r="L702">
        <f t="shared" si="20"/>
        <v>0</v>
      </c>
      <c r="N702">
        <f t="shared" si="21"/>
        <v>0</v>
      </c>
    </row>
    <row r="703" spans="1:14" ht="35.25">
      <c r="A703">
        <v>702</v>
      </c>
      <c r="B703" s="2" t="s">
        <v>1738</v>
      </c>
      <c r="C703" s="2">
        <v>1967</v>
      </c>
      <c r="D703" s="2" t="s">
        <v>323</v>
      </c>
      <c r="E703" s="2" t="s">
        <v>93</v>
      </c>
      <c r="F703" s="2">
        <v>7.8</v>
      </c>
      <c r="G703" s="2">
        <v>63</v>
      </c>
      <c r="H703" s="2" t="s">
        <v>554</v>
      </c>
      <c r="I703" s="2" t="s">
        <v>555</v>
      </c>
      <c r="J703" s="2">
        <v>39642</v>
      </c>
      <c r="K703" s="3">
        <v>56700000</v>
      </c>
      <c r="L703">
        <f t="shared" si="20"/>
        <v>0</v>
      </c>
      <c r="N703">
        <f t="shared" si="21"/>
        <v>1</v>
      </c>
    </row>
    <row r="704" spans="1:14" ht="25.5">
      <c r="A704">
        <v>703</v>
      </c>
      <c r="B704" s="2" t="s">
        <v>1739</v>
      </c>
      <c r="C704" s="2">
        <v>1967</v>
      </c>
      <c r="D704" s="2" t="s">
        <v>708</v>
      </c>
      <c r="E704" s="2" t="s">
        <v>27</v>
      </c>
      <c r="F704" s="2">
        <v>7.8</v>
      </c>
      <c r="G704" s="2">
        <v>86</v>
      </c>
      <c r="H704" s="2" t="s">
        <v>1740</v>
      </c>
      <c r="I704" s="2" t="s">
        <v>1741</v>
      </c>
      <c r="J704" s="2">
        <v>102415</v>
      </c>
      <c r="K704" s="4" t="s">
        <v>90</v>
      </c>
      <c r="L704">
        <f t="shared" si="20"/>
        <v>0</v>
      </c>
      <c r="N704">
        <f t="shared" si="21"/>
        <v>1</v>
      </c>
    </row>
    <row r="705" spans="1:14" ht="23.25">
      <c r="A705">
        <v>704</v>
      </c>
      <c r="B705" s="2" t="s">
        <v>1742</v>
      </c>
      <c r="C705" s="2">
        <v>1964</v>
      </c>
      <c r="D705" s="2" t="s">
        <v>241</v>
      </c>
      <c r="E705" s="2" t="s">
        <v>60</v>
      </c>
      <c r="F705" s="2">
        <v>7.8</v>
      </c>
      <c r="G705" s="2">
        <v>95</v>
      </c>
      <c r="H705" s="2" t="s">
        <v>875</v>
      </c>
      <c r="I705" s="2" t="s">
        <v>1737</v>
      </c>
      <c r="J705" s="2">
        <v>86525</v>
      </c>
      <c r="K705" s="3">
        <v>72000000</v>
      </c>
      <c r="L705">
        <f t="shared" si="20"/>
        <v>0</v>
      </c>
      <c r="N705">
        <f t="shared" si="21"/>
        <v>1</v>
      </c>
    </row>
    <row r="706" spans="1:14" ht="23.25">
      <c r="A706">
        <v>705</v>
      </c>
      <c r="B706" s="2" t="s">
        <v>1743</v>
      </c>
      <c r="C706" s="2">
        <v>1964</v>
      </c>
      <c r="D706" s="2" t="s">
        <v>54</v>
      </c>
      <c r="E706" s="2" t="s">
        <v>93</v>
      </c>
      <c r="F706" s="2">
        <v>7.8</v>
      </c>
      <c r="G706" s="2">
        <v>88</v>
      </c>
      <c r="H706" s="2" t="s">
        <v>1744</v>
      </c>
      <c r="I706" s="2" t="s">
        <v>1147</v>
      </c>
      <c r="J706" s="2">
        <v>158029</v>
      </c>
      <c r="K706" s="3">
        <v>102272727</v>
      </c>
      <c r="L706">
        <f t="shared" si="20"/>
        <v>0</v>
      </c>
      <c r="N706">
        <f t="shared" si="21"/>
        <v>1</v>
      </c>
    </row>
    <row r="707" spans="1:14" ht="23.25">
      <c r="A707">
        <v>706</v>
      </c>
      <c r="B707" s="2" t="s">
        <v>1745</v>
      </c>
      <c r="C707" s="2">
        <v>1962</v>
      </c>
      <c r="D707" s="2" t="s">
        <v>58</v>
      </c>
      <c r="E707" s="2" t="s">
        <v>27</v>
      </c>
      <c r="F707" s="2">
        <v>7.8</v>
      </c>
      <c r="G707" s="2">
        <v>75</v>
      </c>
      <c r="H707" s="2" t="s">
        <v>1746</v>
      </c>
      <c r="I707" s="2" t="s">
        <v>1747</v>
      </c>
      <c r="J707" s="2">
        <v>52141</v>
      </c>
      <c r="K707" s="3">
        <v>39100000</v>
      </c>
      <c r="L707">
        <f t="shared" ref="L707:L770" si="22">IF(AND(F707&gt;=8.2, G707&gt;8.2), 1, 0)</f>
        <v>0</v>
      </c>
      <c r="N707">
        <f t="shared" ref="N707:N770" si="23">IF(K707&gt;=50000000, 1, 0)</f>
        <v>0</v>
      </c>
    </row>
    <row r="708" spans="1:14" ht="25.5">
      <c r="A708">
        <v>707</v>
      </c>
      <c r="B708" s="2" t="s">
        <v>1748</v>
      </c>
      <c r="C708" s="2">
        <v>1962</v>
      </c>
      <c r="D708" s="2" t="s">
        <v>233</v>
      </c>
      <c r="E708" s="2" t="s">
        <v>60</v>
      </c>
      <c r="F708" s="2">
        <v>7.8</v>
      </c>
      <c r="G708" s="2">
        <v>97</v>
      </c>
      <c r="H708" s="2" t="s">
        <v>840</v>
      </c>
      <c r="I708" s="2" t="s">
        <v>1749</v>
      </c>
      <c r="J708" s="2">
        <v>37605</v>
      </c>
      <c r="K708" s="4" t="s">
        <v>90</v>
      </c>
      <c r="L708">
        <f t="shared" si="22"/>
        <v>0</v>
      </c>
      <c r="N708">
        <f t="shared" si="23"/>
        <v>1</v>
      </c>
    </row>
    <row r="709" spans="1:14" ht="23.25">
      <c r="A709">
        <v>708</v>
      </c>
      <c r="B709" s="2" t="s">
        <v>1750</v>
      </c>
      <c r="C709" s="2">
        <v>1961</v>
      </c>
      <c r="D709" s="2" t="s">
        <v>614</v>
      </c>
      <c r="E709" s="2" t="s">
        <v>1126</v>
      </c>
      <c r="F709" s="2">
        <v>7.8</v>
      </c>
      <c r="G709" s="2">
        <v>88</v>
      </c>
      <c r="H709" s="2" t="s">
        <v>1751</v>
      </c>
      <c r="I709" s="2" t="s">
        <v>1752</v>
      </c>
      <c r="J709" s="2">
        <v>27007</v>
      </c>
      <c r="K709" s="3">
        <v>2616000</v>
      </c>
      <c r="L709">
        <f t="shared" si="22"/>
        <v>0</v>
      </c>
      <c r="N709">
        <f t="shared" si="23"/>
        <v>0</v>
      </c>
    </row>
    <row r="710" spans="1:14" ht="25.5">
      <c r="A710">
        <v>709</v>
      </c>
      <c r="B710" s="2" t="s">
        <v>1753</v>
      </c>
      <c r="C710" s="2">
        <v>1960</v>
      </c>
      <c r="D710" s="2" t="s">
        <v>1080</v>
      </c>
      <c r="E710" s="2" t="s">
        <v>22</v>
      </c>
      <c r="F710" s="2">
        <v>7.8</v>
      </c>
      <c r="G710" s="4" t="s">
        <v>90</v>
      </c>
      <c r="H710" s="2" t="s">
        <v>1155</v>
      </c>
      <c r="I710" s="2" t="s">
        <v>1754</v>
      </c>
      <c r="J710" s="2">
        <v>73251</v>
      </c>
      <c r="K710" s="3">
        <v>336705</v>
      </c>
      <c r="L710">
        <f t="shared" si="22"/>
        <v>0</v>
      </c>
      <c r="N710">
        <f t="shared" si="23"/>
        <v>0</v>
      </c>
    </row>
    <row r="711" spans="1:14" ht="25.5">
      <c r="A711">
        <v>710</v>
      </c>
      <c r="B711" s="2" t="s">
        <v>1755</v>
      </c>
      <c r="C711" s="2">
        <v>1948</v>
      </c>
      <c r="D711" s="2" t="s">
        <v>83</v>
      </c>
      <c r="E711" s="2" t="s">
        <v>27</v>
      </c>
      <c r="F711" s="2">
        <v>7.8</v>
      </c>
      <c r="G711" s="4" t="s">
        <v>90</v>
      </c>
      <c r="H711" s="2" t="s">
        <v>1162</v>
      </c>
      <c r="I711" s="2" t="s">
        <v>1756</v>
      </c>
      <c r="J711" s="2">
        <v>28167</v>
      </c>
      <c r="K711" s="4" t="s">
        <v>90</v>
      </c>
      <c r="L711">
        <f t="shared" si="22"/>
        <v>0</v>
      </c>
      <c r="N711">
        <f t="shared" si="23"/>
        <v>1</v>
      </c>
    </row>
    <row r="712" spans="1:14" ht="25.5">
      <c r="A712">
        <v>711</v>
      </c>
      <c r="B712" s="2" t="s">
        <v>1757</v>
      </c>
      <c r="C712" s="2">
        <v>1948</v>
      </c>
      <c r="D712" s="2" t="s">
        <v>614</v>
      </c>
      <c r="E712" s="2" t="s">
        <v>27</v>
      </c>
      <c r="F712" s="2">
        <v>7.8</v>
      </c>
      <c r="G712" s="4" t="s">
        <v>90</v>
      </c>
      <c r="H712" s="2" t="s">
        <v>575</v>
      </c>
      <c r="I712" s="2" t="s">
        <v>200</v>
      </c>
      <c r="J712" s="2">
        <v>36995</v>
      </c>
      <c r="K712" s="4" t="s">
        <v>90</v>
      </c>
      <c r="L712">
        <f t="shared" si="22"/>
        <v>0</v>
      </c>
      <c r="N712">
        <f t="shared" si="23"/>
        <v>1</v>
      </c>
    </row>
    <row r="713" spans="1:14" ht="25.5">
      <c r="A713">
        <v>712</v>
      </c>
      <c r="B713" s="2" t="s">
        <v>1758</v>
      </c>
      <c r="C713" s="2">
        <v>1944</v>
      </c>
      <c r="D713" s="2" t="s">
        <v>614</v>
      </c>
      <c r="E713" s="2" t="s">
        <v>102</v>
      </c>
      <c r="F713" s="2">
        <v>7.8</v>
      </c>
      <c r="G713" s="4" t="s">
        <v>90</v>
      </c>
      <c r="H713" s="2" t="s">
        <v>1162</v>
      </c>
      <c r="I713" s="2" t="s">
        <v>200</v>
      </c>
      <c r="J713" s="2">
        <v>31053</v>
      </c>
      <c r="K713" s="4" t="s">
        <v>90</v>
      </c>
      <c r="L713">
        <f t="shared" si="22"/>
        <v>0</v>
      </c>
      <c r="N713">
        <f t="shared" si="23"/>
        <v>1</v>
      </c>
    </row>
    <row r="714" spans="1:14" ht="25.5">
      <c r="A714">
        <v>713</v>
      </c>
      <c r="B714" s="2" t="s">
        <v>1759</v>
      </c>
      <c r="C714" s="2">
        <v>1943</v>
      </c>
      <c r="D714" s="2" t="s">
        <v>323</v>
      </c>
      <c r="E714" s="2" t="s">
        <v>862</v>
      </c>
      <c r="F714" s="2">
        <v>7.8</v>
      </c>
      <c r="G714" s="2">
        <v>94</v>
      </c>
      <c r="H714" s="2" t="s">
        <v>195</v>
      </c>
      <c r="I714" s="2" t="s">
        <v>1760</v>
      </c>
      <c r="J714" s="2">
        <v>59556</v>
      </c>
      <c r="K714" s="4" t="s">
        <v>90</v>
      </c>
      <c r="L714">
        <f t="shared" si="22"/>
        <v>0</v>
      </c>
      <c r="N714">
        <f t="shared" si="23"/>
        <v>1</v>
      </c>
    </row>
    <row r="715" spans="1:14" ht="25.5">
      <c r="A715">
        <v>714</v>
      </c>
      <c r="B715" s="2" t="s">
        <v>1761</v>
      </c>
      <c r="C715" s="2">
        <v>1939</v>
      </c>
      <c r="D715" s="2" t="s">
        <v>34</v>
      </c>
      <c r="E715" s="2" t="s">
        <v>102</v>
      </c>
      <c r="F715" s="2">
        <v>7.8</v>
      </c>
      <c r="G715" s="2">
        <v>93</v>
      </c>
      <c r="H715" s="2" t="s">
        <v>834</v>
      </c>
      <c r="I715" s="2" t="s">
        <v>1163</v>
      </c>
      <c r="J715" s="2">
        <v>43621</v>
      </c>
      <c r="K715" s="4" t="s">
        <v>90</v>
      </c>
      <c r="L715">
        <f t="shared" si="22"/>
        <v>0</v>
      </c>
      <c r="N715">
        <f t="shared" si="23"/>
        <v>1</v>
      </c>
    </row>
    <row r="716" spans="1:14" ht="25.5">
      <c r="A716">
        <v>715</v>
      </c>
      <c r="B716" s="2" t="s">
        <v>1762</v>
      </c>
      <c r="C716" s="2">
        <v>1938</v>
      </c>
      <c r="D716" s="2" t="s">
        <v>34</v>
      </c>
      <c r="E716" s="2" t="s">
        <v>258</v>
      </c>
      <c r="F716" s="2">
        <v>7.8</v>
      </c>
      <c r="G716" s="2">
        <v>98</v>
      </c>
      <c r="H716" s="2" t="s">
        <v>195</v>
      </c>
      <c r="I716" s="2" t="s">
        <v>1763</v>
      </c>
      <c r="J716" s="2">
        <v>47400</v>
      </c>
      <c r="K716" s="4" t="s">
        <v>90</v>
      </c>
      <c r="L716">
        <f t="shared" si="22"/>
        <v>0</v>
      </c>
      <c r="N716">
        <f t="shared" si="23"/>
        <v>1</v>
      </c>
    </row>
    <row r="717" spans="1:14" ht="25.5">
      <c r="A717">
        <v>716</v>
      </c>
      <c r="B717" s="2" t="s">
        <v>1764</v>
      </c>
      <c r="C717" s="2">
        <v>1938</v>
      </c>
      <c r="D717" s="2" t="s">
        <v>198</v>
      </c>
      <c r="E717" s="2" t="s">
        <v>93</v>
      </c>
      <c r="F717" s="2">
        <v>7.8</v>
      </c>
      <c r="G717" s="2">
        <v>91</v>
      </c>
      <c r="H717" s="2" t="s">
        <v>1162</v>
      </c>
      <c r="I717" s="2" t="s">
        <v>1765</v>
      </c>
      <c r="J717" s="2">
        <v>55163</v>
      </c>
      <c r="K717" s="4" t="s">
        <v>90</v>
      </c>
      <c r="L717">
        <f t="shared" si="22"/>
        <v>0</v>
      </c>
      <c r="N717">
        <f t="shared" si="23"/>
        <v>1</v>
      </c>
    </row>
    <row r="718" spans="1:14" ht="23.25">
      <c r="A718">
        <v>717</v>
      </c>
      <c r="B718" s="2" t="s">
        <v>1766</v>
      </c>
      <c r="C718" s="2">
        <v>1935</v>
      </c>
      <c r="D718" s="2" t="s">
        <v>1212</v>
      </c>
      <c r="E718" s="2" t="s">
        <v>60</v>
      </c>
      <c r="F718" s="2">
        <v>7.8</v>
      </c>
      <c r="G718" s="2">
        <v>95</v>
      </c>
      <c r="H718" s="2" t="s">
        <v>1767</v>
      </c>
      <c r="I718" s="2" t="s">
        <v>1768</v>
      </c>
      <c r="J718" s="2">
        <v>43542</v>
      </c>
      <c r="K718" s="3">
        <v>4360000</v>
      </c>
      <c r="L718">
        <f t="shared" si="22"/>
        <v>0</v>
      </c>
      <c r="N718">
        <f t="shared" si="23"/>
        <v>0</v>
      </c>
    </row>
    <row r="719" spans="1:14" ht="25.5">
      <c r="A719">
        <v>718</v>
      </c>
      <c r="B719" s="2" t="s">
        <v>1769</v>
      </c>
      <c r="C719" s="2">
        <v>1933</v>
      </c>
      <c r="D719" s="2" t="s">
        <v>1770</v>
      </c>
      <c r="E719" s="2" t="s">
        <v>93</v>
      </c>
      <c r="F719" s="2">
        <v>7.8</v>
      </c>
      <c r="G719" s="2">
        <v>93</v>
      </c>
      <c r="H719" s="2" t="s">
        <v>1771</v>
      </c>
      <c r="I719" s="2" t="s">
        <v>1772</v>
      </c>
      <c r="J719" s="2">
        <v>55581</v>
      </c>
      <c r="K719" s="4" t="s">
        <v>90</v>
      </c>
      <c r="L719">
        <f t="shared" si="22"/>
        <v>0</v>
      </c>
      <c r="N719">
        <f t="shared" si="23"/>
        <v>1</v>
      </c>
    </row>
    <row r="720" spans="1:14" ht="35.25">
      <c r="A720">
        <v>719</v>
      </c>
      <c r="B720" s="2" t="s">
        <v>1773</v>
      </c>
      <c r="C720" s="2">
        <v>1932</v>
      </c>
      <c r="D720" s="2" t="s">
        <v>649</v>
      </c>
      <c r="E720" s="2" t="s">
        <v>27</v>
      </c>
      <c r="F720" s="2">
        <v>7.8</v>
      </c>
      <c r="G720" s="2">
        <v>87</v>
      </c>
      <c r="H720" s="2" t="s">
        <v>1162</v>
      </c>
      <c r="I720" s="2" t="s">
        <v>1774</v>
      </c>
      <c r="J720" s="2">
        <v>25312</v>
      </c>
      <c r="K720" s="4" t="s">
        <v>90</v>
      </c>
      <c r="L720">
        <f t="shared" si="22"/>
        <v>0</v>
      </c>
      <c r="N720">
        <f t="shared" si="23"/>
        <v>1</v>
      </c>
    </row>
    <row r="721" spans="1:14" ht="25.5">
      <c r="A721">
        <v>720</v>
      </c>
      <c r="B721" s="2" t="s">
        <v>1775</v>
      </c>
      <c r="C721" s="2">
        <v>1931</v>
      </c>
      <c r="D721" s="2" t="s">
        <v>1776</v>
      </c>
      <c r="E721" s="2" t="s">
        <v>60</v>
      </c>
      <c r="F721" s="2">
        <v>7.8</v>
      </c>
      <c r="G721" s="2">
        <v>91</v>
      </c>
      <c r="H721" s="2" t="s">
        <v>1767</v>
      </c>
      <c r="I721" s="2" t="s">
        <v>1777</v>
      </c>
      <c r="J721" s="2">
        <v>65341</v>
      </c>
      <c r="K721" s="4" t="s">
        <v>90</v>
      </c>
      <c r="L721">
        <f t="shared" si="22"/>
        <v>0</v>
      </c>
      <c r="N721">
        <f t="shared" si="23"/>
        <v>1</v>
      </c>
    </row>
    <row r="722" spans="1:14" ht="25.5">
      <c r="A722">
        <v>721</v>
      </c>
      <c r="B722" s="2" t="s">
        <v>1778</v>
      </c>
      <c r="C722" s="2">
        <v>2018</v>
      </c>
      <c r="D722" s="2" t="s">
        <v>454</v>
      </c>
      <c r="E722" s="2" t="s">
        <v>17</v>
      </c>
      <c r="F722" s="2">
        <v>7.7</v>
      </c>
      <c r="G722" s="2">
        <v>96</v>
      </c>
      <c r="H722" s="2" t="s">
        <v>1318</v>
      </c>
      <c r="I722" s="2" t="s">
        <v>1779</v>
      </c>
      <c r="J722" s="2">
        <v>140375</v>
      </c>
      <c r="K722" s="4" t="s">
        <v>90</v>
      </c>
      <c r="L722">
        <f t="shared" si="22"/>
        <v>0</v>
      </c>
      <c r="N722">
        <f t="shared" si="23"/>
        <v>1</v>
      </c>
    </row>
    <row r="723" spans="1:14" ht="23.25">
      <c r="A723">
        <v>722</v>
      </c>
      <c r="B723" s="2" t="s">
        <v>1780</v>
      </c>
      <c r="C723" s="2">
        <v>2017</v>
      </c>
      <c r="D723" s="2" t="s">
        <v>295</v>
      </c>
      <c r="E723" s="2" t="s">
        <v>60</v>
      </c>
      <c r="F723" s="2">
        <v>7.7</v>
      </c>
      <c r="G723" s="2">
        <v>85</v>
      </c>
      <c r="H723" s="2" t="s">
        <v>1781</v>
      </c>
      <c r="I723" s="2" t="s">
        <v>1782</v>
      </c>
      <c r="J723" s="2">
        <v>25198</v>
      </c>
      <c r="K723" s="3">
        <v>335609</v>
      </c>
      <c r="L723">
        <f t="shared" si="22"/>
        <v>0</v>
      </c>
      <c r="N723">
        <f t="shared" si="23"/>
        <v>0</v>
      </c>
    </row>
    <row r="724" spans="1:14" ht="23.25">
      <c r="A724">
        <v>723</v>
      </c>
      <c r="B724" s="2" t="s">
        <v>1783</v>
      </c>
      <c r="C724" s="2">
        <v>2018</v>
      </c>
      <c r="D724" s="2" t="s">
        <v>163</v>
      </c>
      <c r="E724" s="2" t="s">
        <v>27</v>
      </c>
      <c r="F724" s="2">
        <v>7.7</v>
      </c>
      <c r="G724" s="2">
        <v>66</v>
      </c>
      <c r="H724" s="2" t="s">
        <v>1784</v>
      </c>
      <c r="I724" s="2" t="s">
        <v>957</v>
      </c>
      <c r="J724" s="2">
        <v>478586</v>
      </c>
      <c r="K724" s="3">
        <v>324591735</v>
      </c>
      <c r="L724">
        <f t="shared" si="22"/>
        <v>0</v>
      </c>
      <c r="N724">
        <f t="shared" si="23"/>
        <v>1</v>
      </c>
    </row>
    <row r="725" spans="1:14" ht="23.25">
      <c r="A725">
        <v>724</v>
      </c>
      <c r="B725" s="2" t="s">
        <v>1785</v>
      </c>
      <c r="C725" s="2">
        <v>2017</v>
      </c>
      <c r="D725" s="2" t="s">
        <v>396</v>
      </c>
      <c r="E725" s="2" t="s">
        <v>22</v>
      </c>
      <c r="F725" s="2">
        <v>7.7</v>
      </c>
      <c r="G725" s="2">
        <v>73</v>
      </c>
      <c r="H725" s="2" t="s">
        <v>1786</v>
      </c>
      <c r="I725" s="2" t="s">
        <v>1787</v>
      </c>
      <c r="J725" s="2">
        <v>205444</v>
      </c>
      <c r="K725" s="3">
        <v>33800859</v>
      </c>
      <c r="L725">
        <f t="shared" si="22"/>
        <v>0</v>
      </c>
      <c r="N725">
        <f t="shared" si="23"/>
        <v>0</v>
      </c>
    </row>
    <row r="726" spans="1:14" ht="23.25">
      <c r="A726">
        <v>725</v>
      </c>
      <c r="B726" s="2" t="s">
        <v>1788</v>
      </c>
      <c r="C726" s="2">
        <v>2017</v>
      </c>
      <c r="D726" s="2" t="s">
        <v>295</v>
      </c>
      <c r="E726" s="2" t="s">
        <v>194</v>
      </c>
      <c r="F726" s="2">
        <v>7.7</v>
      </c>
      <c r="G726" s="2">
        <v>85</v>
      </c>
      <c r="H726" s="2" t="s">
        <v>1789</v>
      </c>
      <c r="I726" s="2" t="s">
        <v>1790</v>
      </c>
      <c r="J726" s="2">
        <v>492851</v>
      </c>
      <c r="K726" s="3">
        <v>176040665</v>
      </c>
      <c r="L726">
        <f t="shared" si="22"/>
        <v>0</v>
      </c>
      <c r="N726">
        <f t="shared" si="23"/>
        <v>1</v>
      </c>
    </row>
    <row r="727" spans="1:14" ht="35.25">
      <c r="A727">
        <v>726</v>
      </c>
      <c r="B727" s="2" t="s">
        <v>1791</v>
      </c>
      <c r="C727" s="2">
        <v>2018</v>
      </c>
      <c r="D727" s="2" t="s">
        <v>213</v>
      </c>
      <c r="E727" s="2" t="s">
        <v>27</v>
      </c>
      <c r="F727" s="2">
        <v>7.7</v>
      </c>
      <c r="G727" s="2">
        <v>86</v>
      </c>
      <c r="H727" s="2" t="s">
        <v>1792</v>
      </c>
      <c r="I727" s="2" t="s">
        <v>1040</v>
      </c>
      <c r="J727" s="2">
        <v>291257</v>
      </c>
      <c r="K727" s="3">
        <v>220159104</v>
      </c>
      <c r="L727">
        <f t="shared" si="22"/>
        <v>0</v>
      </c>
      <c r="N727">
        <f t="shared" si="23"/>
        <v>1</v>
      </c>
    </row>
    <row r="728" spans="1:14" ht="23.25">
      <c r="A728">
        <v>727</v>
      </c>
      <c r="B728" s="2" t="s">
        <v>1793</v>
      </c>
      <c r="C728" s="2">
        <v>2015</v>
      </c>
      <c r="D728" s="2" t="s">
        <v>117</v>
      </c>
      <c r="E728" s="2" t="s">
        <v>93</v>
      </c>
      <c r="F728" s="2">
        <v>7.7</v>
      </c>
      <c r="G728" s="2">
        <v>70</v>
      </c>
      <c r="H728" s="2" t="s">
        <v>1794</v>
      </c>
      <c r="I728" s="2" t="s">
        <v>1795</v>
      </c>
      <c r="J728" s="2">
        <v>47444</v>
      </c>
      <c r="K728" s="3">
        <v>3358518</v>
      </c>
      <c r="L728">
        <f t="shared" si="22"/>
        <v>0</v>
      </c>
      <c r="N728">
        <f t="shared" si="23"/>
        <v>0</v>
      </c>
    </row>
    <row r="729" spans="1:14" ht="23.25">
      <c r="A729">
        <v>728</v>
      </c>
      <c r="B729" s="2" t="s">
        <v>1796</v>
      </c>
      <c r="C729" s="2">
        <v>2014</v>
      </c>
      <c r="D729" s="2" t="s">
        <v>519</v>
      </c>
      <c r="E729" s="2" t="s">
        <v>93</v>
      </c>
      <c r="F729" s="2">
        <v>7.7</v>
      </c>
      <c r="G729" s="2">
        <v>76</v>
      </c>
      <c r="H729" s="2" t="s">
        <v>1797</v>
      </c>
      <c r="I729" s="2" t="s">
        <v>1233</v>
      </c>
      <c r="J729" s="2">
        <v>157498</v>
      </c>
      <c r="K729" s="3">
        <v>3333000</v>
      </c>
      <c r="L729">
        <f t="shared" si="22"/>
        <v>0</v>
      </c>
      <c r="N729">
        <f t="shared" si="23"/>
        <v>0</v>
      </c>
    </row>
    <row r="730" spans="1:14" ht="35.25">
      <c r="A730">
        <v>729</v>
      </c>
      <c r="B730" s="2" t="s">
        <v>1798</v>
      </c>
      <c r="C730" s="2">
        <v>2014</v>
      </c>
      <c r="D730" s="2" t="s">
        <v>387</v>
      </c>
      <c r="E730" s="2" t="s">
        <v>110</v>
      </c>
      <c r="F730" s="2">
        <v>7.7</v>
      </c>
      <c r="G730" s="2">
        <v>72</v>
      </c>
      <c r="H730" s="2" t="s">
        <v>1799</v>
      </c>
      <c r="I730" s="2" t="s">
        <v>1800</v>
      </c>
      <c r="J730" s="2">
        <v>32798</v>
      </c>
      <c r="K730" s="3">
        <v>765127</v>
      </c>
      <c r="L730">
        <f t="shared" si="22"/>
        <v>0</v>
      </c>
      <c r="N730">
        <f t="shared" si="23"/>
        <v>0</v>
      </c>
    </row>
    <row r="731" spans="1:14" ht="23.25">
      <c r="A731">
        <v>730</v>
      </c>
      <c r="B731" s="2" t="s">
        <v>1801</v>
      </c>
      <c r="C731" s="2">
        <v>2014</v>
      </c>
      <c r="D731" s="2" t="s">
        <v>308</v>
      </c>
      <c r="E731" s="2" t="s">
        <v>47</v>
      </c>
      <c r="F731" s="2">
        <v>7.7</v>
      </c>
      <c r="G731" s="2">
        <v>72</v>
      </c>
      <c r="H731" s="2" t="s">
        <v>1802</v>
      </c>
      <c r="I731" s="2" t="s">
        <v>1554</v>
      </c>
      <c r="J731" s="2">
        <v>404182</v>
      </c>
      <c r="K731" s="3">
        <v>35893537</v>
      </c>
      <c r="L731">
        <f t="shared" si="22"/>
        <v>0</v>
      </c>
      <c r="N731">
        <f t="shared" si="23"/>
        <v>0</v>
      </c>
    </row>
    <row r="732" spans="1:14" ht="23.25">
      <c r="A732">
        <v>731</v>
      </c>
      <c r="B732" s="2" t="s">
        <v>1803</v>
      </c>
      <c r="C732" s="2">
        <v>2014</v>
      </c>
      <c r="D732" s="2" t="s">
        <v>368</v>
      </c>
      <c r="E732" s="2" t="s">
        <v>27</v>
      </c>
      <c r="F732" s="2">
        <v>7.7</v>
      </c>
      <c r="G732" s="2">
        <v>60</v>
      </c>
      <c r="H732" s="2" t="s">
        <v>1804</v>
      </c>
      <c r="I732" s="2" t="s">
        <v>951</v>
      </c>
      <c r="J732" s="2">
        <v>590440</v>
      </c>
      <c r="K732" s="3">
        <v>128261724</v>
      </c>
      <c r="L732">
        <f t="shared" si="22"/>
        <v>0</v>
      </c>
      <c r="N732">
        <f t="shared" si="23"/>
        <v>1</v>
      </c>
    </row>
    <row r="733" spans="1:14" ht="23.25">
      <c r="A733">
        <v>732</v>
      </c>
      <c r="B733" s="2" t="s">
        <v>1805</v>
      </c>
      <c r="C733" s="2">
        <v>2014</v>
      </c>
      <c r="D733" s="2" t="s">
        <v>206</v>
      </c>
      <c r="E733" s="2" t="s">
        <v>60</v>
      </c>
      <c r="F733" s="2">
        <v>7.7</v>
      </c>
      <c r="G733" s="2">
        <v>69</v>
      </c>
      <c r="H733" s="2" t="s">
        <v>1806</v>
      </c>
      <c r="I733" s="2" t="s">
        <v>1807</v>
      </c>
      <c r="J733" s="2">
        <v>344312</v>
      </c>
      <c r="K733" s="3">
        <v>124872350</v>
      </c>
      <c r="L733">
        <f t="shared" si="22"/>
        <v>0</v>
      </c>
      <c r="N733">
        <f t="shared" si="23"/>
        <v>1</v>
      </c>
    </row>
    <row r="734" spans="1:14" ht="35.25">
      <c r="A734">
        <v>733</v>
      </c>
      <c r="B734" s="2" t="s">
        <v>1808</v>
      </c>
      <c r="C734" s="2">
        <v>2015</v>
      </c>
      <c r="D734" s="2" t="s">
        <v>233</v>
      </c>
      <c r="E734" s="2" t="s">
        <v>93</v>
      </c>
      <c r="F734" s="2">
        <v>7.7</v>
      </c>
      <c r="G734" s="2">
        <v>74</v>
      </c>
      <c r="H734" s="2" t="s">
        <v>1809</v>
      </c>
      <c r="I734" s="2" t="s">
        <v>1810</v>
      </c>
      <c r="J734" s="2">
        <v>123210</v>
      </c>
      <c r="K734" s="3">
        <v>6743776</v>
      </c>
      <c r="L734">
        <f t="shared" si="22"/>
        <v>0</v>
      </c>
      <c r="N734">
        <f t="shared" si="23"/>
        <v>0</v>
      </c>
    </row>
    <row r="735" spans="1:14" ht="47.25">
      <c r="A735">
        <v>734</v>
      </c>
      <c r="B735" s="2" t="s">
        <v>1811</v>
      </c>
      <c r="C735" s="2">
        <v>2014</v>
      </c>
      <c r="D735" s="2" t="s">
        <v>163</v>
      </c>
      <c r="E735" s="2" t="s">
        <v>93</v>
      </c>
      <c r="F735" s="2">
        <v>7.7</v>
      </c>
      <c r="G735" s="2">
        <v>87</v>
      </c>
      <c r="H735" s="2" t="s">
        <v>714</v>
      </c>
      <c r="I735" s="2" t="s">
        <v>1812</v>
      </c>
      <c r="J735" s="2">
        <v>580291</v>
      </c>
      <c r="K735" s="3">
        <v>42340598</v>
      </c>
      <c r="L735">
        <f t="shared" si="22"/>
        <v>0</v>
      </c>
      <c r="N735">
        <f t="shared" si="23"/>
        <v>0</v>
      </c>
    </row>
    <row r="736" spans="1:14" ht="23.25">
      <c r="A736">
        <v>735</v>
      </c>
      <c r="B736" s="2" t="s">
        <v>1813</v>
      </c>
      <c r="C736" s="2">
        <v>2013</v>
      </c>
      <c r="D736" s="2" t="s">
        <v>468</v>
      </c>
      <c r="E736" s="2" t="s">
        <v>60</v>
      </c>
      <c r="F736" s="2">
        <v>7.7</v>
      </c>
      <c r="G736" s="2">
        <v>89</v>
      </c>
      <c r="H736" s="2" t="s">
        <v>1814</v>
      </c>
      <c r="I736" s="2" t="s">
        <v>1815</v>
      </c>
      <c r="J736" s="2">
        <v>138741</v>
      </c>
      <c r="K736" s="3">
        <v>2199675</v>
      </c>
      <c r="L736">
        <f t="shared" si="22"/>
        <v>0</v>
      </c>
      <c r="N736">
        <f t="shared" si="23"/>
        <v>0</v>
      </c>
    </row>
    <row r="737" spans="1:14" ht="23.25">
      <c r="A737">
        <v>736</v>
      </c>
      <c r="B737" s="2" t="s">
        <v>1816</v>
      </c>
      <c r="C737" s="2">
        <v>2013</v>
      </c>
      <c r="D737" s="2" t="s">
        <v>105</v>
      </c>
      <c r="E737" s="2" t="s">
        <v>60</v>
      </c>
      <c r="F737" s="2">
        <v>7.7</v>
      </c>
      <c r="G737" s="2">
        <v>40</v>
      </c>
      <c r="H737" s="2" t="s">
        <v>1817</v>
      </c>
      <c r="I737" s="2" t="s">
        <v>1818</v>
      </c>
      <c r="J737" s="2">
        <v>32628</v>
      </c>
      <c r="K737" s="3">
        <v>1122527</v>
      </c>
      <c r="L737">
        <f t="shared" si="22"/>
        <v>0</v>
      </c>
      <c r="N737">
        <f t="shared" si="23"/>
        <v>0</v>
      </c>
    </row>
    <row r="738" spans="1:14" ht="35.25">
      <c r="A738">
        <v>737</v>
      </c>
      <c r="B738" s="2" t="s">
        <v>1819</v>
      </c>
      <c r="C738" s="2">
        <v>2012</v>
      </c>
      <c r="D738" s="2" t="s">
        <v>708</v>
      </c>
      <c r="E738" s="2" t="s">
        <v>60</v>
      </c>
      <c r="F738" s="2">
        <v>7.7</v>
      </c>
      <c r="G738" s="2">
        <v>70</v>
      </c>
      <c r="H738" s="2" t="s">
        <v>1820</v>
      </c>
      <c r="I738" s="2" t="s">
        <v>1821</v>
      </c>
      <c r="J738" s="2">
        <v>39379</v>
      </c>
      <c r="K738" s="3">
        <v>175058</v>
      </c>
      <c r="L738">
        <f t="shared" si="22"/>
        <v>0</v>
      </c>
      <c r="N738">
        <f t="shared" si="23"/>
        <v>0</v>
      </c>
    </row>
    <row r="739" spans="1:14" ht="35.25">
      <c r="A739">
        <v>738</v>
      </c>
      <c r="B739" s="2" t="s">
        <v>1822</v>
      </c>
      <c r="C739" s="2">
        <v>2014</v>
      </c>
      <c r="D739" s="2" t="s">
        <v>71</v>
      </c>
      <c r="E739" s="2" t="s">
        <v>27</v>
      </c>
      <c r="F739" s="2">
        <v>7.7</v>
      </c>
      <c r="G739" s="2">
        <v>70</v>
      </c>
      <c r="H739" s="2" t="s">
        <v>228</v>
      </c>
      <c r="I739" s="2" t="s">
        <v>229</v>
      </c>
      <c r="J739" s="2">
        <v>736182</v>
      </c>
      <c r="K739" s="3">
        <v>259766572</v>
      </c>
      <c r="L739">
        <f t="shared" si="22"/>
        <v>0</v>
      </c>
      <c r="N739">
        <f t="shared" si="23"/>
        <v>1</v>
      </c>
    </row>
    <row r="740" spans="1:14" ht="25.5">
      <c r="A740">
        <v>739</v>
      </c>
      <c r="B740" s="2" t="s">
        <v>1823</v>
      </c>
      <c r="C740" s="2">
        <v>2011</v>
      </c>
      <c r="D740" s="2" t="s">
        <v>908</v>
      </c>
      <c r="E740" s="2" t="s">
        <v>60</v>
      </c>
      <c r="F740" s="2">
        <v>7.7</v>
      </c>
      <c r="G740" s="4" t="s">
        <v>90</v>
      </c>
      <c r="H740" s="2" t="s">
        <v>1280</v>
      </c>
      <c r="I740" s="2" t="s">
        <v>638</v>
      </c>
      <c r="J740" s="2">
        <v>39501</v>
      </c>
      <c r="K740" s="3">
        <v>985912</v>
      </c>
      <c r="L740">
        <f t="shared" si="22"/>
        <v>0</v>
      </c>
      <c r="N740">
        <f t="shared" si="23"/>
        <v>0</v>
      </c>
    </row>
    <row r="741" spans="1:14" ht="23.25">
      <c r="A741">
        <v>740</v>
      </c>
      <c r="B741" s="2" t="s">
        <v>1824</v>
      </c>
      <c r="C741" s="2">
        <v>2013</v>
      </c>
      <c r="D741" s="2" t="s">
        <v>266</v>
      </c>
      <c r="E741" s="2" t="s">
        <v>102</v>
      </c>
      <c r="F741" s="2">
        <v>7.7</v>
      </c>
      <c r="G741" s="2">
        <v>87</v>
      </c>
      <c r="H741" s="2" t="s">
        <v>1825</v>
      </c>
      <c r="I741" s="2" t="s">
        <v>1826</v>
      </c>
      <c r="J741" s="2">
        <v>112298</v>
      </c>
      <c r="K741" s="3">
        <v>17654912</v>
      </c>
      <c r="L741">
        <f t="shared" si="22"/>
        <v>0</v>
      </c>
      <c r="N741">
        <f t="shared" si="23"/>
        <v>0</v>
      </c>
    </row>
    <row r="742" spans="1:14" ht="23.25">
      <c r="A742">
        <v>741</v>
      </c>
      <c r="B742" s="2" t="s">
        <v>1827</v>
      </c>
      <c r="C742" s="2">
        <v>2012</v>
      </c>
      <c r="D742" s="2" t="s">
        <v>253</v>
      </c>
      <c r="E742" s="2" t="s">
        <v>110</v>
      </c>
      <c r="F742" s="2">
        <v>7.7</v>
      </c>
      <c r="G742" s="2">
        <v>72</v>
      </c>
      <c r="H742" s="2" t="s">
        <v>917</v>
      </c>
      <c r="I742" s="2" t="s">
        <v>1828</v>
      </c>
      <c r="J742" s="2">
        <v>380195</v>
      </c>
      <c r="K742" s="3">
        <v>189422889</v>
      </c>
      <c r="L742">
        <f t="shared" si="22"/>
        <v>0</v>
      </c>
      <c r="N742">
        <f t="shared" si="23"/>
        <v>1</v>
      </c>
    </row>
    <row r="743" spans="1:14" ht="23.25">
      <c r="A743">
        <v>742</v>
      </c>
      <c r="B743" s="2" t="s">
        <v>1829</v>
      </c>
      <c r="C743" s="2">
        <v>2015</v>
      </c>
      <c r="D743" s="2" t="s">
        <v>323</v>
      </c>
      <c r="E743" s="2" t="s">
        <v>110</v>
      </c>
      <c r="F743" s="2">
        <v>7.7</v>
      </c>
      <c r="G743" s="2">
        <v>70</v>
      </c>
      <c r="H743" s="2" t="s">
        <v>1830</v>
      </c>
      <c r="I743" s="2" t="s">
        <v>1831</v>
      </c>
      <c r="J743" s="2">
        <v>56720</v>
      </c>
      <c r="K743" s="3">
        <v>1339152</v>
      </c>
      <c r="L743">
        <f t="shared" si="22"/>
        <v>0</v>
      </c>
      <c r="N743">
        <f t="shared" si="23"/>
        <v>0</v>
      </c>
    </row>
    <row r="744" spans="1:14" ht="23.25">
      <c r="A744">
        <v>743</v>
      </c>
      <c r="B744" s="2" t="s">
        <v>1832</v>
      </c>
      <c r="C744" s="2">
        <v>2011</v>
      </c>
      <c r="D744" s="2" t="s">
        <v>246</v>
      </c>
      <c r="E744" s="2" t="s">
        <v>17</v>
      </c>
      <c r="F744" s="2">
        <v>7.7</v>
      </c>
      <c r="G744" s="2">
        <v>52</v>
      </c>
      <c r="H744" s="2" t="s">
        <v>164</v>
      </c>
      <c r="I744" s="2" t="s">
        <v>157</v>
      </c>
      <c r="J744" s="2">
        <v>77071</v>
      </c>
      <c r="K744" s="3">
        <v>71177</v>
      </c>
      <c r="L744">
        <f t="shared" si="22"/>
        <v>0</v>
      </c>
      <c r="N744">
        <f t="shared" si="23"/>
        <v>0</v>
      </c>
    </row>
    <row r="745" spans="1:14" ht="23.25">
      <c r="A745">
        <v>744</v>
      </c>
      <c r="B745" s="2" t="s">
        <v>1833</v>
      </c>
      <c r="C745" s="2">
        <v>2011</v>
      </c>
      <c r="D745" s="2" t="s">
        <v>34</v>
      </c>
      <c r="E745" s="2" t="s">
        <v>93</v>
      </c>
      <c r="F745" s="2">
        <v>7.7</v>
      </c>
      <c r="G745" s="2">
        <v>81</v>
      </c>
      <c r="H745" s="2" t="s">
        <v>1116</v>
      </c>
      <c r="I745" s="2" t="s">
        <v>1834</v>
      </c>
      <c r="J745" s="2">
        <v>388089</v>
      </c>
      <c r="K745" s="3">
        <v>56816662</v>
      </c>
      <c r="L745">
        <f t="shared" si="22"/>
        <v>0</v>
      </c>
      <c r="N745">
        <f t="shared" si="23"/>
        <v>1</v>
      </c>
    </row>
    <row r="746" spans="1:14" ht="23.25">
      <c r="A746">
        <v>745</v>
      </c>
      <c r="B746" s="2" t="s">
        <v>1835</v>
      </c>
      <c r="C746" s="2">
        <v>2014</v>
      </c>
      <c r="D746" s="2" t="s">
        <v>614</v>
      </c>
      <c r="E746" s="2" t="s">
        <v>110</v>
      </c>
      <c r="F746" s="2">
        <v>7.7</v>
      </c>
      <c r="G746" s="2">
        <v>83</v>
      </c>
      <c r="H746" s="2" t="s">
        <v>1836</v>
      </c>
      <c r="I746" s="2" t="s">
        <v>1837</v>
      </c>
      <c r="J746" s="2">
        <v>323982</v>
      </c>
      <c r="K746" s="3">
        <v>257760692</v>
      </c>
      <c r="L746">
        <f t="shared" si="22"/>
        <v>0</v>
      </c>
      <c r="N746">
        <f t="shared" si="23"/>
        <v>1</v>
      </c>
    </row>
    <row r="747" spans="1:14" ht="23.25">
      <c r="A747">
        <v>746</v>
      </c>
      <c r="B747" s="2" t="s">
        <v>1838</v>
      </c>
      <c r="C747" s="2">
        <v>2013</v>
      </c>
      <c r="D747" s="2" t="s">
        <v>542</v>
      </c>
      <c r="E747" s="2" t="s">
        <v>60</v>
      </c>
      <c r="F747" s="2">
        <v>7.7</v>
      </c>
      <c r="G747" s="2">
        <v>96</v>
      </c>
      <c r="H747" s="2" t="s">
        <v>1318</v>
      </c>
      <c r="I747" s="2" t="s">
        <v>1839</v>
      </c>
      <c r="J747" s="2">
        <v>769145</v>
      </c>
      <c r="K747" s="3">
        <v>274092705</v>
      </c>
      <c r="L747">
        <f t="shared" si="22"/>
        <v>0</v>
      </c>
      <c r="N747">
        <f t="shared" si="23"/>
        <v>1</v>
      </c>
    </row>
    <row r="748" spans="1:14" ht="23.25">
      <c r="A748">
        <v>747</v>
      </c>
      <c r="B748" s="2" t="s">
        <v>1840</v>
      </c>
      <c r="C748" s="2">
        <v>2013</v>
      </c>
      <c r="D748" s="2" t="s">
        <v>92</v>
      </c>
      <c r="E748" s="2" t="s">
        <v>27</v>
      </c>
      <c r="F748" s="2">
        <v>7.7</v>
      </c>
      <c r="G748" s="2">
        <v>72</v>
      </c>
      <c r="H748" s="2" t="s">
        <v>1248</v>
      </c>
      <c r="I748" s="2" t="s">
        <v>1287</v>
      </c>
      <c r="J748" s="2">
        <v>463188</v>
      </c>
      <c r="K748" s="3">
        <v>228778661</v>
      </c>
      <c r="L748">
        <f t="shared" si="22"/>
        <v>0</v>
      </c>
      <c r="N748">
        <f t="shared" si="23"/>
        <v>1</v>
      </c>
    </row>
    <row r="749" spans="1:14" ht="23.25">
      <c r="A749">
        <v>748</v>
      </c>
      <c r="B749" s="2" t="s">
        <v>1841</v>
      </c>
      <c r="C749" s="2">
        <v>2015</v>
      </c>
      <c r="D749" s="2" t="s">
        <v>178</v>
      </c>
      <c r="E749" s="2" t="s">
        <v>60</v>
      </c>
      <c r="F749" s="2">
        <v>7.7</v>
      </c>
      <c r="G749" s="2">
        <v>79</v>
      </c>
      <c r="H749" s="2" t="s">
        <v>1842</v>
      </c>
      <c r="I749" s="2" t="s">
        <v>1843</v>
      </c>
      <c r="J749" s="2">
        <v>73964</v>
      </c>
      <c r="K749" s="3">
        <v>83861</v>
      </c>
      <c r="L749">
        <f t="shared" si="22"/>
        <v>0</v>
      </c>
      <c r="N749">
        <f t="shared" si="23"/>
        <v>0</v>
      </c>
    </row>
    <row r="750" spans="1:14" ht="23.25">
      <c r="A750">
        <v>749</v>
      </c>
      <c r="B750" s="2" t="s">
        <v>1844</v>
      </c>
      <c r="C750" s="2">
        <v>2010</v>
      </c>
      <c r="D750" s="2" t="s">
        <v>660</v>
      </c>
      <c r="E750" s="2" t="s">
        <v>47</v>
      </c>
      <c r="F750" s="2">
        <v>7.7</v>
      </c>
      <c r="G750" s="2">
        <v>95</v>
      </c>
      <c r="H750" s="2" t="s">
        <v>55</v>
      </c>
      <c r="I750" s="2" t="s">
        <v>1845</v>
      </c>
      <c r="J750" s="2">
        <v>624982</v>
      </c>
      <c r="K750" s="3">
        <v>96962694</v>
      </c>
      <c r="L750">
        <f t="shared" si="22"/>
        <v>0</v>
      </c>
      <c r="N750">
        <f t="shared" si="23"/>
        <v>1</v>
      </c>
    </row>
    <row r="751" spans="1:14" ht="23.25">
      <c r="A751">
        <v>750</v>
      </c>
      <c r="B751" s="2" t="s">
        <v>1846</v>
      </c>
      <c r="C751" s="2">
        <v>2011</v>
      </c>
      <c r="D751" s="2" t="s">
        <v>312</v>
      </c>
      <c r="E751" s="2" t="s">
        <v>27</v>
      </c>
      <c r="F751" s="2">
        <v>7.7</v>
      </c>
      <c r="G751" s="2">
        <v>65</v>
      </c>
      <c r="H751" s="2" t="s">
        <v>1804</v>
      </c>
      <c r="I751" s="2" t="s">
        <v>1847</v>
      </c>
      <c r="J751" s="2">
        <v>645512</v>
      </c>
      <c r="K751" s="3">
        <v>146408305</v>
      </c>
      <c r="L751">
        <f t="shared" si="22"/>
        <v>0</v>
      </c>
      <c r="N751">
        <f t="shared" si="23"/>
        <v>1</v>
      </c>
    </row>
    <row r="752" spans="1:14" ht="23.25">
      <c r="A752">
        <v>751</v>
      </c>
      <c r="B752" s="2" t="s">
        <v>1848</v>
      </c>
      <c r="C752" s="2">
        <v>2009</v>
      </c>
      <c r="D752" s="2" t="s">
        <v>614</v>
      </c>
      <c r="E752" s="2" t="s">
        <v>281</v>
      </c>
      <c r="F752" s="2">
        <v>7.7</v>
      </c>
      <c r="G752" s="2">
        <v>73</v>
      </c>
      <c r="H752" s="2" t="s">
        <v>141</v>
      </c>
      <c r="I752" s="2" t="s">
        <v>1849</v>
      </c>
      <c r="J752" s="2">
        <v>717559</v>
      </c>
      <c r="K752" s="3">
        <v>277322503</v>
      </c>
      <c r="L752">
        <f t="shared" si="22"/>
        <v>0</v>
      </c>
      <c r="N752">
        <f t="shared" si="23"/>
        <v>1</v>
      </c>
    </row>
    <row r="753" spans="1:14" ht="23.25">
      <c r="A753">
        <v>752</v>
      </c>
      <c r="B753" s="2" t="s">
        <v>1850</v>
      </c>
      <c r="C753" s="2">
        <v>2012</v>
      </c>
      <c r="D753" s="2" t="s">
        <v>278</v>
      </c>
      <c r="E753" s="2" t="s">
        <v>27</v>
      </c>
      <c r="F753" s="2">
        <v>7.7</v>
      </c>
      <c r="G753" s="2">
        <v>81</v>
      </c>
      <c r="H753" s="2" t="s">
        <v>292</v>
      </c>
      <c r="I753" s="2" t="s">
        <v>1005</v>
      </c>
      <c r="J753" s="2">
        <v>630614</v>
      </c>
      <c r="K753" s="3">
        <v>304360277</v>
      </c>
      <c r="L753">
        <f t="shared" si="22"/>
        <v>0</v>
      </c>
      <c r="N753">
        <f t="shared" si="23"/>
        <v>1</v>
      </c>
    </row>
    <row r="754" spans="1:14" ht="23.25">
      <c r="A754">
        <v>753</v>
      </c>
      <c r="B754" s="2" t="s">
        <v>1851</v>
      </c>
      <c r="C754" s="2">
        <v>2012</v>
      </c>
      <c r="D754" s="2" t="s">
        <v>140</v>
      </c>
      <c r="E754" s="2" t="s">
        <v>93</v>
      </c>
      <c r="F754" s="2">
        <v>7.7</v>
      </c>
      <c r="G754" s="2">
        <v>81</v>
      </c>
      <c r="H754" s="2" t="s">
        <v>1557</v>
      </c>
      <c r="I754" s="2" t="s">
        <v>1852</v>
      </c>
      <c r="J754" s="2">
        <v>661871</v>
      </c>
      <c r="K754" s="3">
        <v>132092958</v>
      </c>
      <c r="L754">
        <f t="shared" si="22"/>
        <v>0</v>
      </c>
      <c r="N754">
        <f t="shared" si="23"/>
        <v>1</v>
      </c>
    </row>
    <row r="755" spans="1:14" ht="14.25">
      <c r="A755">
        <v>754</v>
      </c>
      <c r="B755" s="2" t="s">
        <v>1853</v>
      </c>
      <c r="C755" s="2">
        <v>2012</v>
      </c>
      <c r="D755" s="2" t="s">
        <v>660</v>
      </c>
      <c r="E755" s="2" t="s">
        <v>47</v>
      </c>
      <c r="F755" s="2">
        <v>7.7</v>
      </c>
      <c r="G755" s="2">
        <v>86</v>
      </c>
      <c r="H755" s="2" t="s">
        <v>628</v>
      </c>
      <c r="I755" s="2" t="s">
        <v>628</v>
      </c>
      <c r="J755" s="2">
        <v>572581</v>
      </c>
      <c r="K755" s="3">
        <v>136025503</v>
      </c>
      <c r="L755">
        <f t="shared" si="22"/>
        <v>0</v>
      </c>
      <c r="N755">
        <f t="shared" si="23"/>
        <v>1</v>
      </c>
    </row>
    <row r="756" spans="1:14" ht="23.25">
      <c r="A756">
        <v>755</v>
      </c>
      <c r="B756" s="2" t="s">
        <v>1854</v>
      </c>
      <c r="C756" s="2">
        <v>2009</v>
      </c>
      <c r="D756" s="2" t="s">
        <v>280</v>
      </c>
      <c r="E756" s="2" t="s">
        <v>93</v>
      </c>
      <c r="F756" s="2">
        <v>7.7</v>
      </c>
      <c r="G756" s="2">
        <v>76</v>
      </c>
      <c r="H756" s="2" t="s">
        <v>1855</v>
      </c>
      <c r="I756" s="2" t="s">
        <v>1856</v>
      </c>
      <c r="J756" s="2">
        <v>472242</v>
      </c>
      <c r="K756" s="3">
        <v>32391374</v>
      </c>
      <c r="L756">
        <f t="shared" si="22"/>
        <v>0</v>
      </c>
      <c r="N756">
        <f t="shared" si="23"/>
        <v>0</v>
      </c>
    </row>
    <row r="757" spans="1:14" ht="35.25">
      <c r="A757">
        <v>756</v>
      </c>
      <c r="B757" s="2" t="s">
        <v>1857</v>
      </c>
      <c r="C757" s="2">
        <v>2010</v>
      </c>
      <c r="D757" s="2" t="s">
        <v>75</v>
      </c>
      <c r="E757" s="2" t="s">
        <v>102</v>
      </c>
      <c r="F757" s="2">
        <v>7.7</v>
      </c>
      <c r="G757" s="2">
        <v>65</v>
      </c>
      <c r="H757" s="2" t="s">
        <v>667</v>
      </c>
      <c r="I757" s="2" t="s">
        <v>668</v>
      </c>
      <c r="J757" s="2">
        <v>479120</v>
      </c>
      <c r="K757" s="3">
        <v>295983305</v>
      </c>
      <c r="L757">
        <f t="shared" si="22"/>
        <v>0</v>
      </c>
      <c r="N757">
        <f t="shared" si="23"/>
        <v>1</v>
      </c>
    </row>
    <row r="758" spans="1:14" ht="23.25">
      <c r="A758">
        <v>757</v>
      </c>
      <c r="B758" s="2" t="s">
        <v>1858</v>
      </c>
      <c r="C758" s="2">
        <v>2008</v>
      </c>
      <c r="D758" s="2" t="s">
        <v>253</v>
      </c>
      <c r="E758" s="2" t="s">
        <v>110</v>
      </c>
      <c r="F758" s="2">
        <v>7.7</v>
      </c>
      <c r="G758" s="2">
        <v>86</v>
      </c>
      <c r="H758" s="2" t="s">
        <v>111</v>
      </c>
      <c r="I758" s="2" t="s">
        <v>1859</v>
      </c>
      <c r="J758" s="2">
        <v>125317</v>
      </c>
      <c r="K758" s="3">
        <v>15090400</v>
      </c>
      <c r="L758">
        <f t="shared" si="22"/>
        <v>0</v>
      </c>
      <c r="N758">
        <f t="shared" si="23"/>
        <v>0</v>
      </c>
    </row>
    <row r="759" spans="1:14" ht="23.25">
      <c r="A759">
        <v>758</v>
      </c>
      <c r="B759" s="2" t="s">
        <v>1860</v>
      </c>
      <c r="C759" s="2">
        <v>2008</v>
      </c>
      <c r="D759" s="2" t="s">
        <v>140</v>
      </c>
      <c r="E759" s="2" t="s">
        <v>47</v>
      </c>
      <c r="F759" s="2">
        <v>7.7</v>
      </c>
      <c r="G759" s="2">
        <v>80</v>
      </c>
      <c r="H759" s="2" t="s">
        <v>497</v>
      </c>
      <c r="I759" s="2" t="s">
        <v>1861</v>
      </c>
      <c r="J759" s="2">
        <v>103330</v>
      </c>
      <c r="K759" s="3">
        <v>18593156</v>
      </c>
      <c r="L759">
        <f t="shared" si="22"/>
        <v>0</v>
      </c>
      <c r="N759">
        <f t="shared" si="23"/>
        <v>0</v>
      </c>
    </row>
    <row r="760" spans="1:14" ht="35.25">
      <c r="A760">
        <v>759</v>
      </c>
      <c r="B760" s="2" t="s">
        <v>1862</v>
      </c>
      <c r="C760" s="2">
        <v>2006</v>
      </c>
      <c r="D760" s="2" t="s">
        <v>1080</v>
      </c>
      <c r="E760" s="2" t="s">
        <v>110</v>
      </c>
      <c r="F760" s="2">
        <v>7.7</v>
      </c>
      <c r="G760" s="2">
        <v>81</v>
      </c>
      <c r="H760" s="2" t="s">
        <v>1046</v>
      </c>
      <c r="I760" s="2" t="s">
        <v>1863</v>
      </c>
      <c r="J760" s="2">
        <v>71379</v>
      </c>
      <c r="K760" s="3">
        <v>881302</v>
      </c>
      <c r="L760">
        <f t="shared" si="22"/>
        <v>0</v>
      </c>
      <c r="N760">
        <f t="shared" si="23"/>
        <v>0</v>
      </c>
    </row>
    <row r="761" spans="1:14" ht="23.25">
      <c r="A761">
        <v>760</v>
      </c>
      <c r="B761" s="2" t="s">
        <v>1864</v>
      </c>
      <c r="C761" s="2">
        <v>2008</v>
      </c>
      <c r="D761" s="2" t="s">
        <v>712</v>
      </c>
      <c r="E761" s="2" t="s">
        <v>47</v>
      </c>
      <c r="F761" s="2">
        <v>7.7</v>
      </c>
      <c r="G761" s="2">
        <v>63</v>
      </c>
      <c r="H761" s="2" t="s">
        <v>67</v>
      </c>
      <c r="I761" s="2" t="s">
        <v>1865</v>
      </c>
      <c r="J761" s="2">
        <v>239203</v>
      </c>
      <c r="K761" s="3">
        <v>35739802</v>
      </c>
      <c r="L761">
        <f t="shared" si="22"/>
        <v>0</v>
      </c>
      <c r="N761">
        <f t="shared" si="23"/>
        <v>0</v>
      </c>
    </row>
    <row r="762" spans="1:14" ht="23.25">
      <c r="A762">
        <v>761</v>
      </c>
      <c r="B762" s="2" t="s">
        <v>1866</v>
      </c>
      <c r="C762" s="2">
        <v>2010</v>
      </c>
      <c r="D762" s="2" t="s">
        <v>1080</v>
      </c>
      <c r="E762" s="2" t="s">
        <v>93</v>
      </c>
      <c r="F762" s="2">
        <v>7.7</v>
      </c>
      <c r="G762" s="2">
        <v>45</v>
      </c>
      <c r="H762" s="2" t="s">
        <v>765</v>
      </c>
      <c r="I762" s="2" t="s">
        <v>1867</v>
      </c>
      <c r="J762" s="2">
        <v>81446</v>
      </c>
      <c r="K762" s="3">
        <v>1752214</v>
      </c>
      <c r="L762">
        <f t="shared" si="22"/>
        <v>0</v>
      </c>
      <c r="N762">
        <f t="shared" si="23"/>
        <v>0</v>
      </c>
    </row>
    <row r="763" spans="1:14" ht="25.5">
      <c r="A763">
        <v>762</v>
      </c>
      <c r="B763" s="2" t="s">
        <v>1868</v>
      </c>
      <c r="C763" s="2">
        <v>2006</v>
      </c>
      <c r="D763" s="2" t="s">
        <v>246</v>
      </c>
      <c r="E763" s="2" t="s">
        <v>110</v>
      </c>
      <c r="F763" s="2">
        <v>7.7</v>
      </c>
      <c r="G763" s="4" t="s">
        <v>90</v>
      </c>
      <c r="H763" s="2" t="s">
        <v>630</v>
      </c>
      <c r="I763" s="2" t="s">
        <v>1869</v>
      </c>
      <c r="J763" s="2">
        <v>60368</v>
      </c>
      <c r="K763" s="4" t="s">
        <v>90</v>
      </c>
      <c r="L763">
        <f t="shared" si="22"/>
        <v>0</v>
      </c>
      <c r="N763">
        <f t="shared" si="23"/>
        <v>1</v>
      </c>
    </row>
    <row r="764" spans="1:14" ht="25.5">
      <c r="A764">
        <v>763</v>
      </c>
      <c r="B764" s="2" t="s">
        <v>1870</v>
      </c>
      <c r="C764" s="2">
        <v>2006</v>
      </c>
      <c r="D764" s="2" t="s">
        <v>206</v>
      </c>
      <c r="E764" s="2" t="s">
        <v>22</v>
      </c>
      <c r="F764" s="2">
        <v>7.7</v>
      </c>
      <c r="G764" s="4" t="s">
        <v>90</v>
      </c>
      <c r="H764" s="2" t="s">
        <v>1871</v>
      </c>
      <c r="I764" s="2" t="s">
        <v>1872</v>
      </c>
      <c r="J764" s="2">
        <v>28630</v>
      </c>
      <c r="K764" s="4" t="s">
        <v>90</v>
      </c>
      <c r="L764">
        <f t="shared" si="22"/>
        <v>0</v>
      </c>
      <c r="N764">
        <f t="shared" si="23"/>
        <v>1</v>
      </c>
    </row>
    <row r="765" spans="1:14" ht="23.25">
      <c r="A765">
        <v>764</v>
      </c>
      <c r="B765" s="2" t="s">
        <v>1873</v>
      </c>
      <c r="C765" s="2">
        <v>2006</v>
      </c>
      <c r="D765" s="2" t="s">
        <v>253</v>
      </c>
      <c r="E765" s="2" t="s">
        <v>22</v>
      </c>
      <c r="F765" s="2">
        <v>7.7</v>
      </c>
      <c r="G765" s="2">
        <v>86</v>
      </c>
      <c r="H765" s="2" t="s">
        <v>1874</v>
      </c>
      <c r="I765" s="2" t="s">
        <v>1875</v>
      </c>
      <c r="J765" s="2">
        <v>115576</v>
      </c>
      <c r="K765" s="3">
        <v>327919</v>
      </c>
      <c r="L765">
        <f t="shared" si="22"/>
        <v>0</v>
      </c>
      <c r="N765">
        <f t="shared" si="23"/>
        <v>0</v>
      </c>
    </row>
    <row r="766" spans="1:14" ht="23.25">
      <c r="A766">
        <v>765</v>
      </c>
      <c r="B766" s="2" t="s">
        <v>1876</v>
      </c>
      <c r="C766" s="2">
        <v>2014</v>
      </c>
      <c r="D766" s="2" t="s">
        <v>323</v>
      </c>
      <c r="E766" s="2" t="s">
        <v>60</v>
      </c>
      <c r="F766" s="2">
        <v>7.7</v>
      </c>
      <c r="G766" s="2">
        <v>78</v>
      </c>
      <c r="H766" s="2" t="s">
        <v>1877</v>
      </c>
      <c r="I766" s="2" t="s">
        <v>1878</v>
      </c>
      <c r="J766" s="2">
        <v>474141</v>
      </c>
      <c r="K766" s="3">
        <v>25442958</v>
      </c>
      <c r="L766">
        <f t="shared" si="22"/>
        <v>0</v>
      </c>
      <c r="N766">
        <f t="shared" si="23"/>
        <v>0</v>
      </c>
    </row>
    <row r="767" spans="1:14" ht="23.25">
      <c r="A767">
        <v>766</v>
      </c>
      <c r="B767" s="2" t="s">
        <v>1879</v>
      </c>
      <c r="C767" s="2">
        <v>2006</v>
      </c>
      <c r="D767" s="2" t="s">
        <v>660</v>
      </c>
      <c r="E767" s="2" t="s">
        <v>17</v>
      </c>
      <c r="F767" s="2">
        <v>7.7</v>
      </c>
      <c r="G767" s="2">
        <v>78</v>
      </c>
      <c r="H767" s="2" t="s">
        <v>1880</v>
      </c>
      <c r="I767" s="2" t="s">
        <v>306</v>
      </c>
      <c r="J767" s="2">
        <v>32001</v>
      </c>
      <c r="K767" s="3">
        <v>412544</v>
      </c>
      <c r="L767">
        <f t="shared" si="22"/>
        <v>0</v>
      </c>
      <c r="N767">
        <f t="shared" si="23"/>
        <v>0</v>
      </c>
    </row>
    <row r="768" spans="1:14" ht="23.25">
      <c r="A768">
        <v>767</v>
      </c>
      <c r="B768" s="2" t="s">
        <v>1881</v>
      </c>
      <c r="C768" s="2">
        <v>2006</v>
      </c>
      <c r="D768" s="2" t="s">
        <v>308</v>
      </c>
      <c r="E768" s="2" t="s">
        <v>47</v>
      </c>
      <c r="F768" s="2">
        <v>7.7</v>
      </c>
      <c r="G768" s="2">
        <v>74</v>
      </c>
      <c r="H768" s="2" t="s">
        <v>1882</v>
      </c>
      <c r="I768" s="2" t="s">
        <v>1847</v>
      </c>
      <c r="J768" s="2">
        <v>175355</v>
      </c>
      <c r="K768" s="3">
        <v>17605861</v>
      </c>
      <c r="L768">
        <f t="shared" si="22"/>
        <v>0</v>
      </c>
      <c r="N768">
        <f t="shared" si="23"/>
        <v>0</v>
      </c>
    </row>
    <row r="769" spans="1:14" ht="23.25">
      <c r="A769">
        <v>768</v>
      </c>
      <c r="B769" s="2" t="s">
        <v>1883</v>
      </c>
      <c r="C769" s="2">
        <v>2007</v>
      </c>
      <c r="D769" s="2" t="s">
        <v>1254</v>
      </c>
      <c r="E769" s="2" t="s">
        <v>22</v>
      </c>
      <c r="F769" s="2">
        <v>7.7</v>
      </c>
      <c r="G769" s="2">
        <v>78</v>
      </c>
      <c r="H769" s="2" t="s">
        <v>55</v>
      </c>
      <c r="I769" s="2" t="s">
        <v>1038</v>
      </c>
      <c r="J769" s="2">
        <v>466080</v>
      </c>
      <c r="K769" s="3">
        <v>33080084</v>
      </c>
      <c r="L769">
        <f t="shared" si="22"/>
        <v>0</v>
      </c>
      <c r="N769">
        <f t="shared" si="23"/>
        <v>0</v>
      </c>
    </row>
    <row r="770" spans="1:14" ht="23.25">
      <c r="A770">
        <v>769</v>
      </c>
      <c r="B770" s="2" t="s">
        <v>1884</v>
      </c>
      <c r="C770" s="2">
        <v>2006</v>
      </c>
      <c r="D770" s="2" t="s">
        <v>170</v>
      </c>
      <c r="E770" s="2" t="s">
        <v>27</v>
      </c>
      <c r="F770" s="2">
        <v>7.7</v>
      </c>
      <c r="G770" s="2">
        <v>53</v>
      </c>
      <c r="H770" s="2" t="s">
        <v>1885</v>
      </c>
      <c r="I770" s="2" t="s">
        <v>1886</v>
      </c>
      <c r="J770" s="2">
        <v>299524</v>
      </c>
      <c r="K770" s="3">
        <v>22494487</v>
      </c>
      <c r="L770">
        <f t="shared" si="22"/>
        <v>0</v>
      </c>
      <c r="N770">
        <f t="shared" si="23"/>
        <v>0</v>
      </c>
    </row>
    <row r="771" spans="1:14" ht="23.25">
      <c r="A771">
        <v>770</v>
      </c>
      <c r="B771" s="2" t="s">
        <v>1887</v>
      </c>
      <c r="C771" s="2">
        <v>2005</v>
      </c>
      <c r="D771" s="2" t="s">
        <v>117</v>
      </c>
      <c r="E771" s="2" t="s">
        <v>60</v>
      </c>
      <c r="F771" s="2">
        <v>7.7</v>
      </c>
      <c r="G771" s="2">
        <v>70</v>
      </c>
      <c r="H771" s="2" t="s">
        <v>1888</v>
      </c>
      <c r="I771" s="2" t="s">
        <v>1889</v>
      </c>
      <c r="J771" s="2">
        <v>28003</v>
      </c>
      <c r="K771" s="3">
        <v>1054361</v>
      </c>
      <c r="L771">
        <f t="shared" ref="L771:L834" si="24">IF(AND(F771&gt;=8.2, G771&gt;8.2), 1, 0)</f>
        <v>0</v>
      </c>
      <c r="N771">
        <f t="shared" ref="N771:N834" si="25">IF(K771&gt;=50000000, 1, 0)</f>
        <v>0</v>
      </c>
    </row>
    <row r="772" spans="1:14" ht="23.25">
      <c r="A772">
        <v>771</v>
      </c>
      <c r="B772" s="2" t="s">
        <v>1890</v>
      </c>
      <c r="C772" s="2">
        <v>2007</v>
      </c>
      <c r="D772" s="2" t="s">
        <v>140</v>
      </c>
      <c r="E772" s="2" t="s">
        <v>47</v>
      </c>
      <c r="F772" s="2">
        <v>7.7</v>
      </c>
      <c r="G772" s="2">
        <v>78</v>
      </c>
      <c r="H772" s="2" t="s">
        <v>1891</v>
      </c>
      <c r="I772" s="2" t="s">
        <v>1892</v>
      </c>
      <c r="J772" s="2">
        <v>61609</v>
      </c>
      <c r="K772" s="3">
        <v>871577</v>
      </c>
      <c r="L772">
        <f t="shared" si="24"/>
        <v>0</v>
      </c>
      <c r="N772">
        <f t="shared" si="25"/>
        <v>0</v>
      </c>
    </row>
    <row r="773" spans="1:14" ht="23.25">
      <c r="A773">
        <v>772</v>
      </c>
      <c r="B773" s="2" t="s">
        <v>1893</v>
      </c>
      <c r="C773" s="2">
        <v>2010</v>
      </c>
      <c r="D773" s="2" t="s">
        <v>614</v>
      </c>
      <c r="E773" s="2" t="s">
        <v>110</v>
      </c>
      <c r="F773" s="2">
        <v>7.7</v>
      </c>
      <c r="G773" s="2">
        <v>71</v>
      </c>
      <c r="H773" s="2" t="s">
        <v>1894</v>
      </c>
      <c r="I773" s="2" t="s">
        <v>916</v>
      </c>
      <c r="J773" s="2">
        <v>405922</v>
      </c>
      <c r="K773" s="3">
        <v>200821936</v>
      </c>
      <c r="L773">
        <f t="shared" si="24"/>
        <v>0</v>
      </c>
      <c r="N773">
        <f t="shared" si="25"/>
        <v>1</v>
      </c>
    </row>
    <row r="774" spans="1:14" ht="23.25">
      <c r="A774">
        <v>773</v>
      </c>
      <c r="B774" s="2" t="s">
        <v>1895</v>
      </c>
      <c r="C774" s="2">
        <v>2006</v>
      </c>
      <c r="D774" s="2" t="s">
        <v>596</v>
      </c>
      <c r="E774" s="2" t="s">
        <v>60</v>
      </c>
      <c r="F774" s="2">
        <v>7.7</v>
      </c>
      <c r="G774" s="2">
        <v>71</v>
      </c>
      <c r="H774" s="2" t="s">
        <v>1896</v>
      </c>
      <c r="I774" s="2" t="s">
        <v>1897</v>
      </c>
      <c r="J774" s="2">
        <v>72643</v>
      </c>
      <c r="K774" s="3">
        <v>4398392</v>
      </c>
      <c r="L774">
        <f t="shared" si="24"/>
        <v>0</v>
      </c>
      <c r="N774">
        <f t="shared" si="25"/>
        <v>0</v>
      </c>
    </row>
    <row r="775" spans="1:14" ht="23.25">
      <c r="A775">
        <v>774</v>
      </c>
      <c r="B775" s="2" t="s">
        <v>1898</v>
      </c>
      <c r="C775" s="2">
        <v>2005</v>
      </c>
      <c r="D775" s="2" t="s">
        <v>261</v>
      </c>
      <c r="E775" s="2" t="s">
        <v>60</v>
      </c>
      <c r="F775" s="2">
        <v>7.7</v>
      </c>
      <c r="G775" s="2">
        <v>87</v>
      </c>
      <c r="H775" s="2" t="s">
        <v>1299</v>
      </c>
      <c r="I775" s="2" t="s">
        <v>1038</v>
      </c>
      <c r="J775" s="2">
        <v>323103</v>
      </c>
      <c r="K775" s="3">
        <v>83043761</v>
      </c>
      <c r="L775">
        <f t="shared" si="24"/>
        <v>0</v>
      </c>
      <c r="N775">
        <f t="shared" si="25"/>
        <v>1</v>
      </c>
    </row>
    <row r="776" spans="1:14" ht="23.25">
      <c r="A776">
        <v>775</v>
      </c>
      <c r="B776" s="2" t="s">
        <v>1899</v>
      </c>
      <c r="C776" s="2">
        <v>2007</v>
      </c>
      <c r="D776" s="2" t="s">
        <v>140</v>
      </c>
      <c r="E776" s="2" t="s">
        <v>27</v>
      </c>
      <c r="F776" s="2">
        <v>7.7</v>
      </c>
      <c r="G776" s="2">
        <v>76</v>
      </c>
      <c r="H776" s="2" t="s">
        <v>605</v>
      </c>
      <c r="I776" s="2" t="s">
        <v>161</v>
      </c>
      <c r="J776" s="2">
        <v>288797</v>
      </c>
      <c r="K776" s="3">
        <v>53606916</v>
      </c>
      <c r="L776">
        <f t="shared" si="24"/>
        <v>0</v>
      </c>
      <c r="N776">
        <f t="shared" si="25"/>
        <v>1</v>
      </c>
    </row>
    <row r="777" spans="1:14" ht="23.25">
      <c r="A777">
        <v>776</v>
      </c>
      <c r="B777" s="2" t="s">
        <v>1900</v>
      </c>
      <c r="C777" s="2">
        <v>2004</v>
      </c>
      <c r="D777" s="2" t="s">
        <v>148</v>
      </c>
      <c r="E777" s="2" t="s">
        <v>22</v>
      </c>
      <c r="F777" s="2">
        <v>7.7</v>
      </c>
      <c r="G777" s="2">
        <v>66</v>
      </c>
      <c r="H777" s="2" t="s">
        <v>1901</v>
      </c>
      <c r="I777" s="2" t="s">
        <v>695</v>
      </c>
      <c r="J777" s="2">
        <v>419483</v>
      </c>
      <c r="K777" s="3">
        <v>54580300</v>
      </c>
      <c r="L777">
        <f t="shared" si="24"/>
        <v>0</v>
      </c>
      <c r="N777">
        <f t="shared" si="25"/>
        <v>1</v>
      </c>
    </row>
    <row r="778" spans="1:14" ht="23.25">
      <c r="A778">
        <v>777</v>
      </c>
      <c r="B778" s="2" t="s">
        <v>1902</v>
      </c>
      <c r="C778" s="2">
        <v>2004</v>
      </c>
      <c r="D778" s="2" t="s">
        <v>348</v>
      </c>
      <c r="E778" s="2" t="s">
        <v>27</v>
      </c>
      <c r="F778" s="2">
        <v>7.7</v>
      </c>
      <c r="G778" s="2">
        <v>78</v>
      </c>
      <c r="H778" s="2" t="s">
        <v>1903</v>
      </c>
      <c r="I778" s="2" t="s">
        <v>1903</v>
      </c>
      <c r="J778" s="2">
        <v>127250</v>
      </c>
      <c r="K778" s="3">
        <v>17108591</v>
      </c>
      <c r="L778">
        <f t="shared" si="24"/>
        <v>0</v>
      </c>
      <c r="N778">
        <f t="shared" si="25"/>
        <v>0</v>
      </c>
    </row>
    <row r="779" spans="1:14" ht="23.25">
      <c r="A779">
        <v>778</v>
      </c>
      <c r="B779" s="2" t="s">
        <v>1904</v>
      </c>
      <c r="C779" s="2">
        <v>2004</v>
      </c>
      <c r="D779" s="2" t="s">
        <v>323</v>
      </c>
      <c r="E779" s="2" t="s">
        <v>27</v>
      </c>
      <c r="F779" s="2">
        <v>7.7</v>
      </c>
      <c r="G779" s="2">
        <v>73</v>
      </c>
      <c r="H779" s="2" t="s">
        <v>988</v>
      </c>
      <c r="I779" s="2" t="s">
        <v>644</v>
      </c>
      <c r="J779" s="2">
        <v>434841</v>
      </c>
      <c r="K779" s="3">
        <v>176241941</v>
      </c>
      <c r="L779">
        <f t="shared" si="24"/>
        <v>0</v>
      </c>
      <c r="N779">
        <f t="shared" si="25"/>
        <v>1</v>
      </c>
    </row>
    <row r="780" spans="1:14" ht="23.25">
      <c r="A780">
        <v>779</v>
      </c>
      <c r="B780" s="2" t="s">
        <v>1905</v>
      </c>
      <c r="C780" s="2">
        <v>2004</v>
      </c>
      <c r="D780" s="2" t="s">
        <v>253</v>
      </c>
      <c r="E780" s="2" t="s">
        <v>60</v>
      </c>
      <c r="F780" s="2">
        <v>7.7</v>
      </c>
      <c r="G780" s="2">
        <v>61</v>
      </c>
      <c r="H780" s="2" t="s">
        <v>1906</v>
      </c>
      <c r="I780" s="2" t="s">
        <v>29</v>
      </c>
      <c r="J780" s="2">
        <v>358432</v>
      </c>
      <c r="K780" s="3">
        <v>1082715</v>
      </c>
      <c r="L780">
        <f t="shared" si="24"/>
        <v>0</v>
      </c>
      <c r="N780">
        <f t="shared" si="25"/>
        <v>0</v>
      </c>
    </row>
    <row r="781" spans="1:14" ht="23.25">
      <c r="A781">
        <v>780</v>
      </c>
      <c r="B781" s="2" t="s">
        <v>1907</v>
      </c>
      <c r="C781" s="2">
        <v>2004</v>
      </c>
      <c r="D781" s="2" t="s">
        <v>26</v>
      </c>
      <c r="E781" s="2" t="s">
        <v>47</v>
      </c>
      <c r="F781" s="2">
        <v>7.7</v>
      </c>
      <c r="G781" s="2">
        <v>73</v>
      </c>
      <c r="H781" s="2" t="s">
        <v>1075</v>
      </c>
      <c r="I781" s="2" t="s">
        <v>237</v>
      </c>
      <c r="J781" s="2">
        <v>138356</v>
      </c>
      <c r="K781" s="3">
        <v>75331600</v>
      </c>
      <c r="L781">
        <f t="shared" si="24"/>
        <v>0</v>
      </c>
      <c r="N781">
        <f t="shared" si="25"/>
        <v>1</v>
      </c>
    </row>
    <row r="782" spans="1:14" ht="23.25">
      <c r="A782">
        <v>781</v>
      </c>
      <c r="B782" s="2" t="s">
        <v>1908</v>
      </c>
      <c r="C782" s="2">
        <v>2003</v>
      </c>
      <c r="D782" s="2" t="s">
        <v>198</v>
      </c>
      <c r="E782" s="2" t="s">
        <v>93</v>
      </c>
      <c r="F782" s="2">
        <v>7.7</v>
      </c>
      <c r="G782" s="2">
        <v>89</v>
      </c>
      <c r="H782" s="2" t="s">
        <v>1909</v>
      </c>
      <c r="I782" s="2" t="s">
        <v>1073</v>
      </c>
      <c r="J782" s="2">
        <v>415074</v>
      </c>
      <c r="K782" s="3">
        <v>44585453</v>
      </c>
      <c r="L782">
        <f t="shared" si="24"/>
        <v>0</v>
      </c>
      <c r="N782">
        <f t="shared" si="25"/>
        <v>0</v>
      </c>
    </row>
    <row r="783" spans="1:14" ht="35.25">
      <c r="A783">
        <v>782</v>
      </c>
      <c r="B783" s="2" t="s">
        <v>1910</v>
      </c>
      <c r="C783" s="2">
        <v>2005</v>
      </c>
      <c r="D783" s="2" t="s">
        <v>1254</v>
      </c>
      <c r="E783" s="2" t="s">
        <v>102</v>
      </c>
      <c r="F783" s="2">
        <v>7.7</v>
      </c>
      <c r="G783" s="2">
        <v>81</v>
      </c>
      <c r="H783" s="2" t="s">
        <v>1911</v>
      </c>
      <c r="I783" s="2" t="s">
        <v>668</v>
      </c>
      <c r="J783" s="2">
        <v>548619</v>
      </c>
      <c r="K783" s="3">
        <v>290013036</v>
      </c>
      <c r="L783">
        <f t="shared" si="24"/>
        <v>0</v>
      </c>
      <c r="N783">
        <f t="shared" si="25"/>
        <v>1</v>
      </c>
    </row>
    <row r="784" spans="1:14" ht="23.25">
      <c r="A784">
        <v>783</v>
      </c>
      <c r="B784" s="2" t="s">
        <v>1912</v>
      </c>
      <c r="C784" s="2">
        <v>2004</v>
      </c>
      <c r="D784" s="2" t="s">
        <v>75</v>
      </c>
      <c r="E784" s="2" t="s">
        <v>27</v>
      </c>
      <c r="F784" s="2">
        <v>7.7</v>
      </c>
      <c r="G784" s="2">
        <v>47</v>
      </c>
      <c r="H784" s="2" t="s">
        <v>1352</v>
      </c>
      <c r="I784" s="2" t="s">
        <v>1575</v>
      </c>
      <c r="J784" s="2">
        <v>329592</v>
      </c>
      <c r="K784" s="3">
        <v>77911774</v>
      </c>
      <c r="L784">
        <f t="shared" si="24"/>
        <v>0</v>
      </c>
      <c r="N784">
        <f t="shared" si="25"/>
        <v>1</v>
      </c>
    </row>
    <row r="785" spans="1:14" ht="23.25">
      <c r="A785">
        <v>784</v>
      </c>
      <c r="B785" s="2" t="s">
        <v>1913</v>
      </c>
      <c r="C785" s="2">
        <v>2009</v>
      </c>
      <c r="D785" s="2" t="s">
        <v>614</v>
      </c>
      <c r="E785" s="2" t="s">
        <v>110</v>
      </c>
      <c r="F785" s="2">
        <v>7.7</v>
      </c>
      <c r="G785" s="2">
        <v>80</v>
      </c>
      <c r="H785" s="2" t="s">
        <v>1069</v>
      </c>
      <c r="I785" s="2" t="s">
        <v>1914</v>
      </c>
      <c r="J785" s="2">
        <v>197761</v>
      </c>
      <c r="K785" s="3">
        <v>75286229</v>
      </c>
      <c r="L785">
        <f t="shared" si="24"/>
        <v>0</v>
      </c>
      <c r="N785">
        <f t="shared" si="25"/>
        <v>1</v>
      </c>
    </row>
    <row r="786" spans="1:14" ht="23.25">
      <c r="A786">
        <v>785</v>
      </c>
      <c r="B786" s="2" t="s">
        <v>1915</v>
      </c>
      <c r="C786" s="2">
        <v>2003</v>
      </c>
      <c r="D786" s="2" t="s">
        <v>42</v>
      </c>
      <c r="E786" s="2" t="s">
        <v>27</v>
      </c>
      <c r="F786" s="2">
        <v>7.7</v>
      </c>
      <c r="G786" s="2">
        <v>55</v>
      </c>
      <c r="H786" s="2" t="s">
        <v>986</v>
      </c>
      <c r="I786" s="2" t="s">
        <v>1040</v>
      </c>
      <c r="J786" s="2">
        <v>400049</v>
      </c>
      <c r="K786" s="3">
        <v>111110575</v>
      </c>
      <c r="L786">
        <f t="shared" si="24"/>
        <v>0</v>
      </c>
      <c r="N786">
        <f t="shared" si="25"/>
        <v>1</v>
      </c>
    </row>
    <row r="787" spans="1:14" ht="23.25">
      <c r="A787">
        <v>786</v>
      </c>
      <c r="B787" s="2" t="s">
        <v>1916</v>
      </c>
      <c r="C787" s="2">
        <v>2002</v>
      </c>
      <c r="D787" s="2" t="s">
        <v>366</v>
      </c>
      <c r="E787" s="2" t="s">
        <v>17</v>
      </c>
      <c r="F787" s="2">
        <v>7.7</v>
      </c>
      <c r="G787" s="2">
        <v>83</v>
      </c>
      <c r="H787" s="2" t="s">
        <v>1917</v>
      </c>
      <c r="I787" s="2" t="s">
        <v>1918</v>
      </c>
      <c r="J787" s="2">
        <v>25938</v>
      </c>
      <c r="K787" s="3">
        <v>4890878</v>
      </c>
      <c r="L787">
        <f t="shared" si="24"/>
        <v>0</v>
      </c>
      <c r="N787">
        <f t="shared" si="25"/>
        <v>0</v>
      </c>
    </row>
    <row r="788" spans="1:14" ht="23.25">
      <c r="A788">
        <v>787</v>
      </c>
      <c r="B788" s="2" t="s">
        <v>1919</v>
      </c>
      <c r="C788" s="2">
        <v>2003</v>
      </c>
      <c r="D788" s="2" t="s">
        <v>127</v>
      </c>
      <c r="E788" s="2" t="s">
        <v>93</v>
      </c>
      <c r="F788" s="2">
        <v>7.7</v>
      </c>
      <c r="G788" s="2">
        <v>68</v>
      </c>
      <c r="H788" s="2" t="s">
        <v>1920</v>
      </c>
      <c r="I788" s="2" t="s">
        <v>642</v>
      </c>
      <c r="J788" s="2">
        <v>137981</v>
      </c>
      <c r="K788" s="3">
        <v>4064200</v>
      </c>
      <c r="L788">
        <f t="shared" si="24"/>
        <v>0</v>
      </c>
      <c r="N788">
        <f t="shared" si="25"/>
        <v>0</v>
      </c>
    </row>
    <row r="789" spans="1:14" ht="23.25">
      <c r="A789">
        <v>788</v>
      </c>
      <c r="B789" s="2" t="s">
        <v>1921</v>
      </c>
      <c r="C789" s="2">
        <v>2002</v>
      </c>
      <c r="D789" s="2" t="s">
        <v>233</v>
      </c>
      <c r="E789" s="2" t="s">
        <v>17</v>
      </c>
      <c r="F789" s="2">
        <v>7.7</v>
      </c>
      <c r="G789" s="2">
        <v>76</v>
      </c>
      <c r="H789" s="2" t="s">
        <v>755</v>
      </c>
      <c r="I789" s="2" t="s">
        <v>1922</v>
      </c>
      <c r="J789" s="2">
        <v>40403</v>
      </c>
      <c r="K789" s="3">
        <v>15539266</v>
      </c>
      <c r="L789">
        <f t="shared" si="24"/>
        <v>0</v>
      </c>
      <c r="N789">
        <f t="shared" si="25"/>
        <v>0</v>
      </c>
    </row>
    <row r="790" spans="1:14" ht="23.25">
      <c r="A790">
        <v>789</v>
      </c>
      <c r="B790" s="2" t="s">
        <v>1923</v>
      </c>
      <c r="C790" s="2">
        <v>2001</v>
      </c>
      <c r="D790" s="2" t="s">
        <v>92</v>
      </c>
      <c r="E790" s="2" t="s">
        <v>17</v>
      </c>
      <c r="F790" s="2">
        <v>7.7</v>
      </c>
      <c r="G790" s="2">
        <v>28</v>
      </c>
      <c r="H790" s="2" t="s">
        <v>1924</v>
      </c>
      <c r="I790" s="2" t="s">
        <v>683</v>
      </c>
      <c r="J790" s="2">
        <v>142863</v>
      </c>
      <c r="K790" s="3">
        <v>40311852</v>
      </c>
      <c r="L790">
        <f t="shared" si="24"/>
        <v>0</v>
      </c>
      <c r="N790">
        <f t="shared" si="25"/>
        <v>0</v>
      </c>
    </row>
    <row r="791" spans="1:14" ht="23.25">
      <c r="A791">
        <v>790</v>
      </c>
      <c r="B791" s="2" t="s">
        <v>1925</v>
      </c>
      <c r="C791" s="2">
        <v>2002</v>
      </c>
      <c r="D791" s="2" t="s">
        <v>266</v>
      </c>
      <c r="E791" s="2" t="s">
        <v>93</v>
      </c>
      <c r="F791" s="2">
        <v>7.7</v>
      </c>
      <c r="G791" s="2">
        <v>83</v>
      </c>
      <c r="H791" s="2" t="s">
        <v>940</v>
      </c>
      <c r="I791" s="2" t="s">
        <v>1926</v>
      </c>
      <c r="J791" s="2">
        <v>178565</v>
      </c>
      <c r="K791" s="3">
        <v>22245861</v>
      </c>
      <c r="L791">
        <f t="shared" si="24"/>
        <v>0</v>
      </c>
      <c r="N791">
        <f t="shared" si="25"/>
        <v>0</v>
      </c>
    </row>
    <row r="792" spans="1:14" ht="23.25">
      <c r="A792">
        <v>791</v>
      </c>
      <c r="B792" s="2" t="s">
        <v>1927</v>
      </c>
      <c r="C792" s="2">
        <v>2001</v>
      </c>
      <c r="D792" s="2" t="s">
        <v>689</v>
      </c>
      <c r="E792" s="2" t="s">
        <v>60</v>
      </c>
      <c r="F792" s="2">
        <v>7.7</v>
      </c>
      <c r="G792" s="2">
        <v>74</v>
      </c>
      <c r="H792" s="2" t="s">
        <v>160</v>
      </c>
      <c r="I792" s="2" t="s">
        <v>1886</v>
      </c>
      <c r="J792" s="2">
        <v>364254</v>
      </c>
      <c r="K792" s="3">
        <v>108638745</v>
      </c>
      <c r="L792">
        <f t="shared" si="24"/>
        <v>0</v>
      </c>
      <c r="N792">
        <f t="shared" si="25"/>
        <v>1</v>
      </c>
    </row>
    <row r="793" spans="1:14" ht="23.25">
      <c r="A793">
        <v>792</v>
      </c>
      <c r="B793" s="2" t="s">
        <v>1928</v>
      </c>
      <c r="C793" s="2">
        <v>2002</v>
      </c>
      <c r="D793" s="2" t="s">
        <v>223</v>
      </c>
      <c r="E793" s="2" t="s">
        <v>22</v>
      </c>
      <c r="F793" s="2">
        <v>7.7</v>
      </c>
      <c r="G793" s="2">
        <v>72</v>
      </c>
      <c r="H793" s="2" t="s">
        <v>292</v>
      </c>
      <c r="I793" s="2" t="s">
        <v>62</v>
      </c>
      <c r="J793" s="2">
        <v>246840</v>
      </c>
      <c r="K793" s="3">
        <v>104454762</v>
      </c>
      <c r="L793">
        <f t="shared" si="24"/>
        <v>0</v>
      </c>
      <c r="N793">
        <f t="shared" si="25"/>
        <v>1</v>
      </c>
    </row>
    <row r="794" spans="1:14" ht="35.25">
      <c r="A794">
        <v>793</v>
      </c>
      <c r="B794" s="2" t="s">
        <v>1929</v>
      </c>
      <c r="C794" s="2">
        <v>2001</v>
      </c>
      <c r="D794" s="2" t="s">
        <v>660</v>
      </c>
      <c r="E794" s="2" t="s">
        <v>60</v>
      </c>
      <c r="F794" s="2">
        <v>7.7</v>
      </c>
      <c r="G794" s="2">
        <v>60</v>
      </c>
      <c r="H794" s="2" t="s">
        <v>492</v>
      </c>
      <c r="I794" s="2" t="s">
        <v>1930</v>
      </c>
      <c r="J794" s="2">
        <v>90842</v>
      </c>
      <c r="K794" s="3">
        <v>141072</v>
      </c>
      <c r="L794">
        <f t="shared" si="24"/>
        <v>0</v>
      </c>
      <c r="N794">
        <f t="shared" si="25"/>
        <v>0</v>
      </c>
    </row>
    <row r="795" spans="1:14" ht="23.25">
      <c r="A795">
        <v>794</v>
      </c>
      <c r="B795" s="2" t="s">
        <v>1931</v>
      </c>
      <c r="C795" s="2">
        <v>2000</v>
      </c>
      <c r="D795" s="2" t="s">
        <v>170</v>
      </c>
      <c r="E795" s="2" t="s">
        <v>60</v>
      </c>
      <c r="F795" s="2">
        <v>7.7</v>
      </c>
      <c r="G795" s="2">
        <v>74</v>
      </c>
      <c r="H795" s="2" t="s">
        <v>1932</v>
      </c>
      <c r="I795" s="2" t="s">
        <v>1933</v>
      </c>
      <c r="J795" s="2">
        <v>126770</v>
      </c>
      <c r="K795" s="3">
        <v>21995263</v>
      </c>
      <c r="L795">
        <f t="shared" si="24"/>
        <v>0</v>
      </c>
      <c r="N795">
        <f t="shared" si="25"/>
        <v>0</v>
      </c>
    </row>
    <row r="796" spans="1:14" ht="35.25">
      <c r="A796">
        <v>795</v>
      </c>
      <c r="B796" s="2" t="s">
        <v>1934</v>
      </c>
      <c r="C796" s="2">
        <v>2001</v>
      </c>
      <c r="D796" s="2" t="s">
        <v>280</v>
      </c>
      <c r="E796" s="2" t="s">
        <v>93</v>
      </c>
      <c r="F796" s="2">
        <v>7.7</v>
      </c>
      <c r="G796" s="2">
        <v>85</v>
      </c>
      <c r="H796" s="2" t="s">
        <v>1935</v>
      </c>
      <c r="I796" s="2" t="s">
        <v>1935</v>
      </c>
      <c r="J796" s="2">
        <v>31957</v>
      </c>
      <c r="K796" s="3">
        <v>3029081</v>
      </c>
      <c r="L796">
        <f t="shared" si="24"/>
        <v>0</v>
      </c>
      <c r="N796">
        <f t="shared" si="25"/>
        <v>0</v>
      </c>
    </row>
    <row r="797" spans="1:14" ht="23.25">
      <c r="A797">
        <v>796</v>
      </c>
      <c r="B797" s="2" t="s">
        <v>1936</v>
      </c>
      <c r="C797" s="2">
        <v>2001</v>
      </c>
      <c r="D797" s="2" t="s">
        <v>117</v>
      </c>
      <c r="E797" s="2" t="s">
        <v>22</v>
      </c>
      <c r="F797" s="2">
        <v>7.7</v>
      </c>
      <c r="G797" s="2">
        <v>74</v>
      </c>
      <c r="H797" s="2" t="s">
        <v>1937</v>
      </c>
      <c r="I797" s="2" t="s">
        <v>1302</v>
      </c>
      <c r="J797" s="2">
        <v>516372</v>
      </c>
      <c r="K797" s="3">
        <v>183417150</v>
      </c>
      <c r="L797">
        <f t="shared" si="24"/>
        <v>0</v>
      </c>
      <c r="N797">
        <f t="shared" si="25"/>
        <v>1</v>
      </c>
    </row>
    <row r="798" spans="1:14" ht="23.25">
      <c r="A798">
        <v>797</v>
      </c>
      <c r="B798" s="2" t="s">
        <v>1938</v>
      </c>
      <c r="C798" s="2">
        <v>2000</v>
      </c>
      <c r="D798" s="2" t="s">
        <v>387</v>
      </c>
      <c r="E798" s="2" t="s">
        <v>110</v>
      </c>
      <c r="F798" s="2">
        <v>7.7</v>
      </c>
      <c r="G798" s="2">
        <v>62</v>
      </c>
      <c r="H798" s="2" t="s">
        <v>1357</v>
      </c>
      <c r="I798" s="2" t="s">
        <v>1939</v>
      </c>
      <c r="J798" s="2">
        <v>29210</v>
      </c>
      <c r="K798" s="3">
        <v>151086</v>
      </c>
      <c r="L798">
        <f t="shared" si="24"/>
        <v>0</v>
      </c>
      <c r="N798">
        <f t="shared" si="25"/>
        <v>0</v>
      </c>
    </row>
    <row r="799" spans="1:14" ht="35.25">
      <c r="A799">
        <v>798</v>
      </c>
      <c r="B799" s="2" t="s">
        <v>1940</v>
      </c>
      <c r="C799" s="2">
        <v>2000</v>
      </c>
      <c r="D799" s="2" t="s">
        <v>396</v>
      </c>
      <c r="E799" s="2" t="s">
        <v>102</v>
      </c>
      <c r="F799" s="2">
        <v>7.7</v>
      </c>
      <c r="G799" s="2">
        <v>69</v>
      </c>
      <c r="H799" s="2" t="s">
        <v>687</v>
      </c>
      <c r="I799" s="2" t="s">
        <v>686</v>
      </c>
      <c r="J799" s="2">
        <v>286742</v>
      </c>
      <c r="K799" s="3">
        <v>45512588</v>
      </c>
      <c r="L799">
        <f t="shared" si="24"/>
        <v>0</v>
      </c>
      <c r="N799">
        <f t="shared" si="25"/>
        <v>0</v>
      </c>
    </row>
    <row r="800" spans="1:14" ht="35.25">
      <c r="A800">
        <v>799</v>
      </c>
      <c r="B800" s="2" t="s">
        <v>1941</v>
      </c>
      <c r="C800" s="2">
        <v>2002</v>
      </c>
      <c r="D800" s="2" t="s">
        <v>117</v>
      </c>
      <c r="E800" s="2" t="s">
        <v>102</v>
      </c>
      <c r="F800" s="2">
        <v>7.7</v>
      </c>
      <c r="G800" s="4" t="s">
        <v>90</v>
      </c>
      <c r="H800" s="2" t="s">
        <v>1942</v>
      </c>
      <c r="I800" s="2" t="s">
        <v>1943</v>
      </c>
      <c r="J800" s="2">
        <v>29999</v>
      </c>
      <c r="K800" s="4" t="s">
        <v>90</v>
      </c>
      <c r="L800">
        <f t="shared" si="24"/>
        <v>0</v>
      </c>
      <c r="N800">
        <f t="shared" si="25"/>
        <v>1</v>
      </c>
    </row>
    <row r="801" spans="1:14" ht="35.25">
      <c r="A801">
        <v>800</v>
      </c>
      <c r="B801" s="2" t="s">
        <v>1944</v>
      </c>
      <c r="C801" s="2">
        <v>1999</v>
      </c>
      <c r="D801" s="2" t="s">
        <v>343</v>
      </c>
      <c r="E801" s="2" t="s">
        <v>110</v>
      </c>
      <c r="F801" s="2">
        <v>7.7</v>
      </c>
      <c r="G801" s="2">
        <v>73</v>
      </c>
      <c r="H801" s="2" t="s">
        <v>1945</v>
      </c>
      <c r="I801" s="2" t="s">
        <v>1945</v>
      </c>
      <c r="J801" s="2">
        <v>192112</v>
      </c>
      <c r="K801" s="3">
        <v>52037603</v>
      </c>
      <c r="L801">
        <f t="shared" si="24"/>
        <v>0</v>
      </c>
      <c r="N801">
        <f t="shared" si="25"/>
        <v>1</v>
      </c>
    </row>
    <row r="802" spans="1:14" ht="23.25">
      <c r="A802">
        <v>801</v>
      </c>
      <c r="B802" s="2" t="s">
        <v>1946</v>
      </c>
      <c r="C802" s="2">
        <v>1999</v>
      </c>
      <c r="D802" s="2" t="s">
        <v>185</v>
      </c>
      <c r="E802" s="2" t="s">
        <v>281</v>
      </c>
      <c r="F802" s="2">
        <v>7.7</v>
      </c>
      <c r="G802" s="2">
        <v>68</v>
      </c>
      <c r="H802" s="2" t="s">
        <v>1947</v>
      </c>
      <c r="I802" s="2" t="s">
        <v>1948</v>
      </c>
      <c r="J802" s="2">
        <v>241575</v>
      </c>
      <c r="K802" s="3">
        <v>10824921</v>
      </c>
      <c r="L802">
        <f t="shared" si="24"/>
        <v>0</v>
      </c>
      <c r="N802">
        <f t="shared" si="25"/>
        <v>0</v>
      </c>
    </row>
    <row r="803" spans="1:14" ht="23.25">
      <c r="A803">
        <v>802</v>
      </c>
      <c r="B803" s="2" t="s">
        <v>1949</v>
      </c>
      <c r="C803" s="2">
        <v>1998</v>
      </c>
      <c r="D803" s="2" t="s">
        <v>261</v>
      </c>
      <c r="E803" s="2" t="s">
        <v>93</v>
      </c>
      <c r="F803" s="2">
        <v>7.7</v>
      </c>
      <c r="G803" s="2">
        <v>81</v>
      </c>
      <c r="H803" s="2" t="s">
        <v>1950</v>
      </c>
      <c r="I803" s="2" t="s">
        <v>1951</v>
      </c>
      <c r="J803" s="2">
        <v>66408</v>
      </c>
      <c r="K803" s="3">
        <v>2807390</v>
      </c>
      <c r="L803">
        <f t="shared" si="24"/>
        <v>0</v>
      </c>
      <c r="N803">
        <f t="shared" si="25"/>
        <v>0</v>
      </c>
    </row>
    <row r="804" spans="1:14" ht="23.25">
      <c r="A804">
        <v>803</v>
      </c>
      <c r="B804" s="2" t="s">
        <v>1952</v>
      </c>
      <c r="C804" s="2">
        <v>2001</v>
      </c>
      <c r="D804" s="2" t="s">
        <v>140</v>
      </c>
      <c r="E804" s="2" t="s">
        <v>22</v>
      </c>
      <c r="F804" s="2">
        <v>7.7</v>
      </c>
      <c r="G804" s="2">
        <v>69</v>
      </c>
      <c r="H804" s="2" t="s">
        <v>1953</v>
      </c>
      <c r="I804" s="2" t="s">
        <v>1575</v>
      </c>
      <c r="J804" s="2">
        <v>390247</v>
      </c>
      <c r="K804" s="3">
        <v>76631907</v>
      </c>
      <c r="L804">
        <f t="shared" si="24"/>
        <v>0</v>
      </c>
      <c r="N804">
        <f t="shared" si="25"/>
        <v>1</v>
      </c>
    </row>
    <row r="805" spans="1:14" ht="35.25">
      <c r="A805">
        <v>804</v>
      </c>
      <c r="B805" s="2" t="s">
        <v>1954</v>
      </c>
      <c r="C805" s="2">
        <v>1998</v>
      </c>
      <c r="D805" s="2" t="s">
        <v>649</v>
      </c>
      <c r="E805" s="2" t="s">
        <v>93</v>
      </c>
      <c r="F805" s="2">
        <v>7.7</v>
      </c>
      <c r="G805" s="2">
        <v>86</v>
      </c>
      <c r="H805" s="2" t="s">
        <v>625</v>
      </c>
      <c r="I805" s="2" t="s">
        <v>1955</v>
      </c>
      <c r="J805" s="2">
        <v>169229</v>
      </c>
      <c r="K805" s="3">
        <v>17105219</v>
      </c>
      <c r="L805">
        <f t="shared" si="24"/>
        <v>0</v>
      </c>
      <c r="N805">
        <f t="shared" si="25"/>
        <v>0</v>
      </c>
    </row>
    <row r="806" spans="1:14" ht="25.5">
      <c r="A806">
        <v>805</v>
      </c>
      <c r="B806" s="2" t="s">
        <v>1956</v>
      </c>
      <c r="C806" s="2">
        <v>1997</v>
      </c>
      <c r="D806" s="2" t="s">
        <v>163</v>
      </c>
      <c r="E806" s="2" t="s">
        <v>60</v>
      </c>
      <c r="F806" s="2">
        <v>7.7</v>
      </c>
      <c r="G806" s="4" t="s">
        <v>90</v>
      </c>
      <c r="H806" s="2" t="s">
        <v>1012</v>
      </c>
      <c r="I806" s="2" t="s">
        <v>1957</v>
      </c>
      <c r="J806" s="2">
        <v>64082</v>
      </c>
      <c r="K806" s="3">
        <v>368234</v>
      </c>
      <c r="L806">
        <f t="shared" si="24"/>
        <v>0</v>
      </c>
      <c r="N806">
        <f t="shared" si="25"/>
        <v>0</v>
      </c>
    </row>
    <row r="807" spans="1:14" ht="23.25">
      <c r="A807">
        <v>806</v>
      </c>
      <c r="B807" s="2" t="s">
        <v>1958</v>
      </c>
      <c r="C807" s="2">
        <v>1999</v>
      </c>
      <c r="D807" s="2" t="s">
        <v>257</v>
      </c>
      <c r="E807" s="2" t="s">
        <v>93</v>
      </c>
      <c r="F807" s="2">
        <v>7.7</v>
      </c>
      <c r="G807" s="2">
        <v>90</v>
      </c>
      <c r="H807" s="2" t="s">
        <v>940</v>
      </c>
      <c r="I807" s="2" t="s">
        <v>1959</v>
      </c>
      <c r="J807" s="2">
        <v>312542</v>
      </c>
      <c r="K807" s="3">
        <v>22858926</v>
      </c>
      <c r="L807">
        <f t="shared" si="24"/>
        <v>0</v>
      </c>
      <c r="N807">
        <f t="shared" si="25"/>
        <v>0</v>
      </c>
    </row>
    <row r="808" spans="1:14" ht="23.25">
      <c r="A808">
        <v>807</v>
      </c>
      <c r="B808" s="2" t="s">
        <v>1960</v>
      </c>
      <c r="C808" s="2">
        <v>1997</v>
      </c>
      <c r="D808" s="2" t="s">
        <v>54</v>
      </c>
      <c r="E808" s="2" t="s">
        <v>93</v>
      </c>
      <c r="F808" s="2">
        <v>7.7</v>
      </c>
      <c r="G808" s="2">
        <v>67</v>
      </c>
      <c r="H808" s="2" t="s">
        <v>1961</v>
      </c>
      <c r="I808" s="2" t="s">
        <v>85</v>
      </c>
      <c r="J808" s="2">
        <v>275755</v>
      </c>
      <c r="K808" s="3">
        <v>148478011</v>
      </c>
      <c r="L808">
        <f t="shared" si="24"/>
        <v>0</v>
      </c>
      <c r="N808">
        <f t="shared" si="25"/>
        <v>1</v>
      </c>
    </row>
    <row r="809" spans="1:14" ht="23.25">
      <c r="A809">
        <v>808</v>
      </c>
      <c r="B809" s="2" t="s">
        <v>1962</v>
      </c>
      <c r="C809" s="2">
        <v>1997</v>
      </c>
      <c r="D809" s="2" t="s">
        <v>206</v>
      </c>
      <c r="E809" s="2" t="s">
        <v>27</v>
      </c>
      <c r="F809" s="2">
        <v>7.7</v>
      </c>
      <c r="G809" s="2">
        <v>52</v>
      </c>
      <c r="H809" s="2" t="s">
        <v>171</v>
      </c>
      <c r="I809" s="2" t="s">
        <v>523</v>
      </c>
      <c r="J809" s="2">
        <v>434125</v>
      </c>
      <c r="K809" s="3">
        <v>63540020</v>
      </c>
      <c r="L809">
        <f t="shared" si="24"/>
        <v>0</v>
      </c>
      <c r="N809">
        <f t="shared" si="25"/>
        <v>1</v>
      </c>
    </row>
    <row r="810" spans="1:14" ht="23.25">
      <c r="A810">
        <v>809</v>
      </c>
      <c r="B810" s="2" t="s">
        <v>1963</v>
      </c>
      <c r="C810" s="2">
        <v>1998</v>
      </c>
      <c r="D810" s="2" t="s">
        <v>700</v>
      </c>
      <c r="E810" s="2" t="s">
        <v>281</v>
      </c>
      <c r="F810" s="2">
        <v>7.7</v>
      </c>
      <c r="G810" s="2">
        <v>73</v>
      </c>
      <c r="H810" s="2" t="s">
        <v>1964</v>
      </c>
      <c r="I810" s="2" t="s">
        <v>1965</v>
      </c>
      <c r="J810" s="2">
        <v>37424</v>
      </c>
      <c r="K810" s="3">
        <v>4065116</v>
      </c>
      <c r="L810">
        <f t="shared" si="24"/>
        <v>0</v>
      </c>
      <c r="N810">
        <f t="shared" si="25"/>
        <v>0</v>
      </c>
    </row>
    <row r="811" spans="1:14" ht="23.25">
      <c r="A811">
        <v>810</v>
      </c>
      <c r="B811" s="2" t="s">
        <v>1966</v>
      </c>
      <c r="C811" s="2">
        <v>1997</v>
      </c>
      <c r="D811" s="2" t="s">
        <v>120</v>
      </c>
      <c r="E811" s="2" t="s">
        <v>47</v>
      </c>
      <c r="F811" s="2">
        <v>7.7</v>
      </c>
      <c r="G811" s="2">
        <v>76</v>
      </c>
      <c r="H811" s="2" t="s">
        <v>1911</v>
      </c>
      <c r="I811" s="2" t="s">
        <v>32</v>
      </c>
      <c r="J811" s="2">
        <v>279318</v>
      </c>
      <c r="K811" s="3">
        <v>41909762</v>
      </c>
      <c r="L811">
        <f t="shared" si="24"/>
        <v>0</v>
      </c>
      <c r="N811">
        <f t="shared" si="25"/>
        <v>0</v>
      </c>
    </row>
    <row r="812" spans="1:14" ht="23.25">
      <c r="A812">
        <v>811</v>
      </c>
      <c r="B812" s="2" t="s">
        <v>1967</v>
      </c>
      <c r="C812" s="2">
        <v>1996</v>
      </c>
      <c r="D812" s="2" t="s">
        <v>233</v>
      </c>
      <c r="E812" s="2" t="s">
        <v>47</v>
      </c>
      <c r="F812" s="2">
        <v>7.7</v>
      </c>
      <c r="G812" s="2">
        <v>87</v>
      </c>
      <c r="H812" s="2" t="s">
        <v>1968</v>
      </c>
      <c r="I812" s="2" t="s">
        <v>1519</v>
      </c>
      <c r="J812" s="2">
        <v>51350</v>
      </c>
      <c r="K812" s="3">
        <v>35811509</v>
      </c>
      <c r="L812">
        <f t="shared" si="24"/>
        <v>0</v>
      </c>
      <c r="N812">
        <f t="shared" si="25"/>
        <v>0</v>
      </c>
    </row>
    <row r="813" spans="1:14" ht="23.25">
      <c r="A813">
        <v>812</v>
      </c>
      <c r="B813" s="2" t="s">
        <v>1969</v>
      </c>
      <c r="C813" s="2">
        <v>1996</v>
      </c>
      <c r="D813" s="2" t="s">
        <v>368</v>
      </c>
      <c r="E813" s="2" t="s">
        <v>22</v>
      </c>
      <c r="F813" s="2">
        <v>7.7</v>
      </c>
      <c r="G813" s="2">
        <v>47</v>
      </c>
      <c r="H813" s="2" t="s">
        <v>1970</v>
      </c>
      <c r="I813" s="2" t="s">
        <v>674</v>
      </c>
      <c r="J813" s="2">
        <v>189716</v>
      </c>
      <c r="K813" s="3">
        <v>56116183</v>
      </c>
      <c r="L813">
        <f t="shared" si="24"/>
        <v>0</v>
      </c>
      <c r="N813">
        <f t="shared" si="25"/>
        <v>1</v>
      </c>
    </row>
    <row r="814" spans="1:14" ht="25.5">
      <c r="A814">
        <v>813</v>
      </c>
      <c r="B814" s="2" t="s">
        <v>1971</v>
      </c>
      <c r="C814" s="2">
        <v>1996</v>
      </c>
      <c r="D814" s="2" t="s">
        <v>1972</v>
      </c>
      <c r="E814" s="2" t="s">
        <v>17</v>
      </c>
      <c r="F814" s="2">
        <v>7.7</v>
      </c>
      <c r="G814" s="4" t="s">
        <v>90</v>
      </c>
      <c r="H814" s="2" t="s">
        <v>1973</v>
      </c>
      <c r="I814" s="2" t="s">
        <v>1973</v>
      </c>
      <c r="J814" s="2">
        <v>35991</v>
      </c>
      <c r="K814" s="3">
        <v>4414535</v>
      </c>
      <c r="L814">
        <f t="shared" si="24"/>
        <v>0</v>
      </c>
      <c r="N814">
        <f t="shared" si="25"/>
        <v>0</v>
      </c>
    </row>
    <row r="815" spans="1:14" ht="23.25">
      <c r="A815">
        <v>814</v>
      </c>
      <c r="B815" s="2" t="s">
        <v>1974</v>
      </c>
      <c r="C815" s="2">
        <v>1995</v>
      </c>
      <c r="D815" s="2" t="s">
        <v>1191</v>
      </c>
      <c r="E815" s="2" t="s">
        <v>60</v>
      </c>
      <c r="F815" s="2">
        <v>7.7</v>
      </c>
      <c r="G815" s="2">
        <v>83</v>
      </c>
      <c r="H815" s="2" t="s">
        <v>1318</v>
      </c>
      <c r="I815" s="2" t="s">
        <v>1975</v>
      </c>
      <c r="J815" s="2">
        <v>32236</v>
      </c>
      <c r="K815" s="3">
        <v>10019307</v>
      </c>
      <c r="L815">
        <f t="shared" si="24"/>
        <v>0</v>
      </c>
      <c r="N815">
        <f t="shared" si="25"/>
        <v>0</v>
      </c>
    </row>
    <row r="816" spans="1:14" ht="25.5">
      <c r="A816">
        <v>815</v>
      </c>
      <c r="B816" s="2" t="s">
        <v>1976</v>
      </c>
      <c r="C816" s="2">
        <v>1995</v>
      </c>
      <c r="D816" s="2" t="s">
        <v>348</v>
      </c>
      <c r="E816" s="2" t="s">
        <v>93</v>
      </c>
      <c r="F816" s="2">
        <v>7.7</v>
      </c>
      <c r="G816" s="2">
        <v>71</v>
      </c>
      <c r="H816" s="2" t="s">
        <v>733</v>
      </c>
      <c r="I816" s="2" t="s">
        <v>1977</v>
      </c>
      <c r="J816" s="2">
        <v>26429</v>
      </c>
      <c r="K816" s="4" t="s">
        <v>90</v>
      </c>
      <c r="L816">
        <f t="shared" si="24"/>
        <v>0</v>
      </c>
      <c r="N816">
        <f t="shared" si="25"/>
        <v>1</v>
      </c>
    </row>
    <row r="817" spans="1:14" ht="23.25">
      <c r="A817">
        <v>816</v>
      </c>
      <c r="B817" s="2" t="s">
        <v>1978</v>
      </c>
      <c r="C817" s="2">
        <v>1994</v>
      </c>
      <c r="D817" s="2" t="s">
        <v>323</v>
      </c>
      <c r="E817" s="2" t="s">
        <v>47</v>
      </c>
      <c r="F817" s="2">
        <v>7.7</v>
      </c>
      <c r="G817" s="2">
        <v>81</v>
      </c>
      <c r="H817" s="2" t="s">
        <v>1979</v>
      </c>
      <c r="I817" s="2" t="s">
        <v>1980</v>
      </c>
      <c r="J817" s="2">
        <v>33600</v>
      </c>
      <c r="K817" s="3">
        <v>21848932</v>
      </c>
      <c r="L817">
        <f t="shared" si="24"/>
        <v>0</v>
      </c>
      <c r="N817">
        <f t="shared" si="25"/>
        <v>0</v>
      </c>
    </row>
    <row r="818" spans="1:14" ht="23.25">
      <c r="A818">
        <v>817</v>
      </c>
      <c r="B818" s="2" t="s">
        <v>1981</v>
      </c>
      <c r="C818" s="2">
        <v>1994</v>
      </c>
      <c r="D818" s="2" t="s">
        <v>676</v>
      </c>
      <c r="E818" s="2" t="s">
        <v>281</v>
      </c>
      <c r="F818" s="2">
        <v>7.7</v>
      </c>
      <c r="G818" s="2">
        <v>70</v>
      </c>
      <c r="H818" s="2" t="s">
        <v>1982</v>
      </c>
      <c r="I818" s="2" t="s">
        <v>1983</v>
      </c>
      <c r="J818" s="2">
        <v>211450</v>
      </c>
      <c r="K818" s="3">
        <v>3151130</v>
      </c>
      <c r="L818">
        <f t="shared" si="24"/>
        <v>0</v>
      </c>
      <c r="N818">
        <f t="shared" si="25"/>
        <v>0</v>
      </c>
    </row>
    <row r="819" spans="1:14" ht="23.25">
      <c r="A819">
        <v>818</v>
      </c>
      <c r="B819" s="2" t="s">
        <v>1984</v>
      </c>
      <c r="C819" s="2">
        <v>1993</v>
      </c>
      <c r="D819" s="2" t="s">
        <v>785</v>
      </c>
      <c r="E819" s="2" t="s">
        <v>93</v>
      </c>
      <c r="F819" s="2">
        <v>7.7</v>
      </c>
      <c r="G819" s="2">
        <v>79</v>
      </c>
      <c r="H819" s="2" t="s">
        <v>1985</v>
      </c>
      <c r="I819" s="2" t="s">
        <v>1986</v>
      </c>
      <c r="J819" s="2">
        <v>42275</v>
      </c>
      <c r="K819" s="3">
        <v>6110979</v>
      </c>
      <c r="L819">
        <f t="shared" si="24"/>
        <v>0</v>
      </c>
      <c r="N819">
        <f t="shared" si="25"/>
        <v>0</v>
      </c>
    </row>
    <row r="820" spans="1:14" ht="23.25">
      <c r="A820">
        <v>819</v>
      </c>
      <c r="B820" s="2" t="s">
        <v>1987</v>
      </c>
      <c r="C820" s="2">
        <v>1993</v>
      </c>
      <c r="D820" s="2" t="s">
        <v>109</v>
      </c>
      <c r="E820" s="2" t="s">
        <v>17</v>
      </c>
      <c r="F820" s="2">
        <v>7.7</v>
      </c>
      <c r="G820" s="2">
        <v>66</v>
      </c>
      <c r="H820" s="2" t="s">
        <v>124</v>
      </c>
      <c r="I820" s="2" t="s">
        <v>62</v>
      </c>
      <c r="J820" s="2">
        <v>224169</v>
      </c>
      <c r="K820" s="3">
        <v>77324422</v>
      </c>
      <c r="L820">
        <f t="shared" si="24"/>
        <v>0</v>
      </c>
      <c r="N820">
        <f t="shared" si="25"/>
        <v>1</v>
      </c>
    </row>
    <row r="821" spans="1:14" ht="23.25">
      <c r="A821">
        <v>820</v>
      </c>
      <c r="B821" s="2" t="s">
        <v>1988</v>
      </c>
      <c r="C821" s="2">
        <v>1992</v>
      </c>
      <c r="D821" s="2" t="s">
        <v>819</v>
      </c>
      <c r="E821" s="2" t="s">
        <v>93</v>
      </c>
      <c r="F821" s="2">
        <v>7.7</v>
      </c>
      <c r="G821" s="2">
        <v>64</v>
      </c>
      <c r="H821" s="2" t="s">
        <v>1989</v>
      </c>
      <c r="I821" s="2" t="s">
        <v>1990</v>
      </c>
      <c r="J821" s="2">
        <v>50298</v>
      </c>
      <c r="K821" s="3">
        <v>27281507</v>
      </c>
      <c r="L821">
        <f t="shared" si="24"/>
        <v>0</v>
      </c>
      <c r="N821">
        <f t="shared" si="25"/>
        <v>0</v>
      </c>
    </row>
    <row r="822" spans="1:14" ht="23.25">
      <c r="A822">
        <v>821</v>
      </c>
      <c r="B822" s="2" t="s">
        <v>1991</v>
      </c>
      <c r="C822" s="2">
        <v>1992</v>
      </c>
      <c r="D822" s="2" t="s">
        <v>31</v>
      </c>
      <c r="E822" s="2" t="s">
        <v>47</v>
      </c>
      <c r="F822" s="2">
        <v>7.7</v>
      </c>
      <c r="G822" s="2">
        <v>73</v>
      </c>
      <c r="H822" s="2" t="s">
        <v>1091</v>
      </c>
      <c r="I822" s="2" t="s">
        <v>1575</v>
      </c>
      <c r="J822" s="2">
        <v>85819</v>
      </c>
      <c r="K822" s="3">
        <v>48169908</v>
      </c>
      <c r="L822">
        <f t="shared" si="24"/>
        <v>0</v>
      </c>
      <c r="N822">
        <f t="shared" si="25"/>
        <v>0</v>
      </c>
    </row>
    <row r="823" spans="1:14" ht="23.25">
      <c r="A823">
        <v>822</v>
      </c>
      <c r="B823" s="2" t="s">
        <v>1992</v>
      </c>
      <c r="C823" s="2">
        <v>1992</v>
      </c>
      <c r="D823" s="2" t="s">
        <v>148</v>
      </c>
      <c r="E823" s="2" t="s">
        <v>27</v>
      </c>
      <c r="F823" s="2">
        <v>7.7</v>
      </c>
      <c r="G823" s="2">
        <v>76</v>
      </c>
      <c r="H823" s="2" t="s">
        <v>509</v>
      </c>
      <c r="I823" s="2" t="s">
        <v>475</v>
      </c>
      <c r="J823" s="2">
        <v>150409</v>
      </c>
      <c r="K823" s="3">
        <v>75505856</v>
      </c>
      <c r="L823">
        <f t="shared" si="24"/>
        <v>0</v>
      </c>
      <c r="N823">
        <f t="shared" si="25"/>
        <v>1</v>
      </c>
    </row>
    <row r="824" spans="1:14" ht="25.5">
      <c r="A824">
        <v>823</v>
      </c>
      <c r="B824" s="2" t="s">
        <v>1993</v>
      </c>
      <c r="C824" s="2">
        <v>1992</v>
      </c>
      <c r="D824" s="2" t="s">
        <v>792</v>
      </c>
      <c r="E824" s="2" t="s">
        <v>110</v>
      </c>
      <c r="F824" s="2">
        <v>7.7</v>
      </c>
      <c r="G824" s="2">
        <v>83</v>
      </c>
      <c r="H824" s="2" t="s">
        <v>111</v>
      </c>
      <c r="I824" s="2" t="s">
        <v>1994</v>
      </c>
      <c r="J824" s="2">
        <v>77798</v>
      </c>
      <c r="K824" s="4" t="s">
        <v>90</v>
      </c>
      <c r="L824">
        <f t="shared" si="24"/>
        <v>0</v>
      </c>
      <c r="N824">
        <f t="shared" si="25"/>
        <v>1</v>
      </c>
    </row>
    <row r="825" spans="1:14" ht="23.25">
      <c r="A825">
        <v>824</v>
      </c>
      <c r="B825" s="2" t="s">
        <v>1995</v>
      </c>
      <c r="C825" s="2">
        <v>1992</v>
      </c>
      <c r="D825" s="2" t="s">
        <v>614</v>
      </c>
      <c r="E825" s="2" t="s">
        <v>22</v>
      </c>
      <c r="F825" s="2">
        <v>7.7</v>
      </c>
      <c r="G825" s="2">
        <v>82</v>
      </c>
      <c r="H825" s="2" t="s">
        <v>1996</v>
      </c>
      <c r="I825" s="2" t="s">
        <v>32</v>
      </c>
      <c r="J825" s="2">
        <v>95826</v>
      </c>
      <c r="K825" s="3">
        <v>10725228</v>
      </c>
      <c r="L825">
        <f t="shared" si="24"/>
        <v>0</v>
      </c>
      <c r="N825">
        <f t="shared" si="25"/>
        <v>0</v>
      </c>
    </row>
    <row r="826" spans="1:14" ht="23.25">
      <c r="A826">
        <v>825</v>
      </c>
      <c r="B826" s="2" t="s">
        <v>1997</v>
      </c>
      <c r="C826" s="2">
        <v>1992</v>
      </c>
      <c r="D826" s="2" t="s">
        <v>410</v>
      </c>
      <c r="E826" s="2" t="s">
        <v>60</v>
      </c>
      <c r="F826" s="2">
        <v>7.7</v>
      </c>
      <c r="G826" s="2">
        <v>62</v>
      </c>
      <c r="H826" s="2" t="s">
        <v>765</v>
      </c>
      <c r="I826" s="2" t="s">
        <v>1040</v>
      </c>
      <c r="J826" s="2">
        <v>235388</v>
      </c>
      <c r="K826" s="3">
        <v>141340178</v>
      </c>
      <c r="L826">
        <f t="shared" si="24"/>
        <v>0</v>
      </c>
      <c r="N826">
        <f t="shared" si="25"/>
        <v>1</v>
      </c>
    </row>
    <row r="827" spans="1:14" ht="23.25">
      <c r="A827">
        <v>826</v>
      </c>
      <c r="B827" s="2" t="s">
        <v>1998</v>
      </c>
      <c r="C827" s="2">
        <v>1991</v>
      </c>
      <c r="D827" s="2" t="s">
        <v>105</v>
      </c>
      <c r="E827" s="2" t="s">
        <v>17</v>
      </c>
      <c r="F827" s="2">
        <v>7.7</v>
      </c>
      <c r="G827" s="2">
        <v>64</v>
      </c>
      <c r="H827" s="2" t="s">
        <v>1999</v>
      </c>
      <c r="I827" s="2" t="s">
        <v>2000</v>
      </c>
      <c r="J827" s="2">
        <v>66941</v>
      </c>
      <c r="K827" s="3">
        <v>82418501</v>
      </c>
      <c r="L827">
        <f t="shared" si="24"/>
        <v>0</v>
      </c>
      <c r="N827">
        <f t="shared" si="25"/>
        <v>1</v>
      </c>
    </row>
    <row r="828" spans="1:14" ht="14.25">
      <c r="A828">
        <v>827</v>
      </c>
      <c r="B828" s="2" t="s">
        <v>2001</v>
      </c>
      <c r="C828" s="2">
        <v>1991</v>
      </c>
      <c r="D828" s="2" t="s">
        <v>117</v>
      </c>
      <c r="E828" s="2" t="s">
        <v>93</v>
      </c>
      <c r="F828" s="2">
        <v>7.7</v>
      </c>
      <c r="G828" s="2">
        <v>69</v>
      </c>
      <c r="H828" s="2" t="s">
        <v>687</v>
      </c>
      <c r="I828" s="2" t="s">
        <v>686</v>
      </c>
      <c r="J828" s="2">
        <v>113240</v>
      </c>
      <c r="K828" s="3">
        <v>6153939</v>
      </c>
      <c r="L828">
        <f t="shared" si="24"/>
        <v>0</v>
      </c>
      <c r="N828">
        <f t="shared" si="25"/>
        <v>0</v>
      </c>
    </row>
    <row r="829" spans="1:14" ht="23.25">
      <c r="A829">
        <v>828</v>
      </c>
      <c r="B829" s="2" t="s">
        <v>2002</v>
      </c>
      <c r="C829" s="2">
        <v>1990</v>
      </c>
      <c r="D829" s="2" t="s">
        <v>266</v>
      </c>
      <c r="E829" s="2" t="s">
        <v>22</v>
      </c>
      <c r="F829" s="2">
        <v>7.7</v>
      </c>
      <c r="G829" s="2">
        <v>66</v>
      </c>
      <c r="H829" s="2" t="s">
        <v>687</v>
      </c>
      <c r="I829" s="2" t="s">
        <v>686</v>
      </c>
      <c r="J829" s="2">
        <v>125822</v>
      </c>
      <c r="K829" s="3">
        <v>5080409</v>
      </c>
      <c r="L829">
        <f t="shared" si="24"/>
        <v>0</v>
      </c>
      <c r="N829">
        <f t="shared" si="25"/>
        <v>0</v>
      </c>
    </row>
    <row r="830" spans="1:14" ht="23.25">
      <c r="A830">
        <v>829</v>
      </c>
      <c r="B830" s="2" t="s">
        <v>2003</v>
      </c>
      <c r="C830" s="2">
        <v>1988</v>
      </c>
      <c r="D830" s="2" t="s">
        <v>295</v>
      </c>
      <c r="E830" s="2" t="s">
        <v>110</v>
      </c>
      <c r="F830" s="2">
        <v>7.7</v>
      </c>
      <c r="G830" s="2">
        <v>83</v>
      </c>
      <c r="H830" s="2" t="s">
        <v>61</v>
      </c>
      <c r="I830" s="2" t="s">
        <v>2004</v>
      </c>
      <c r="J830" s="2">
        <v>182009</v>
      </c>
      <c r="K830" s="3">
        <v>156452370</v>
      </c>
      <c r="L830">
        <f t="shared" si="24"/>
        <v>0</v>
      </c>
      <c r="N830">
        <f t="shared" si="25"/>
        <v>1</v>
      </c>
    </row>
    <row r="831" spans="1:14" ht="35.25">
      <c r="A831">
        <v>830</v>
      </c>
      <c r="B831" s="2" t="s">
        <v>2005</v>
      </c>
      <c r="C831" s="2">
        <v>1988</v>
      </c>
      <c r="D831" s="2" t="s">
        <v>396</v>
      </c>
      <c r="E831" s="2" t="s">
        <v>258</v>
      </c>
      <c r="F831" s="2">
        <v>7.7</v>
      </c>
      <c r="G831" s="4" t="s">
        <v>90</v>
      </c>
      <c r="H831" s="2" t="s">
        <v>2006</v>
      </c>
      <c r="I831" s="2" t="s">
        <v>2007</v>
      </c>
      <c r="J831" s="2">
        <v>33982</v>
      </c>
      <c r="K831" s="4" t="s">
        <v>90</v>
      </c>
      <c r="L831">
        <f t="shared" si="24"/>
        <v>0</v>
      </c>
      <c r="N831">
        <f t="shared" si="25"/>
        <v>1</v>
      </c>
    </row>
    <row r="832" spans="1:14" ht="23.25">
      <c r="A832">
        <v>831</v>
      </c>
      <c r="B832" s="2" t="s">
        <v>2008</v>
      </c>
      <c r="C832" s="2">
        <v>1987</v>
      </c>
      <c r="D832" s="2" t="s">
        <v>396</v>
      </c>
      <c r="E832" s="2" t="s">
        <v>93</v>
      </c>
      <c r="F832" s="2">
        <v>7.7</v>
      </c>
      <c r="G832" s="2">
        <v>84</v>
      </c>
      <c r="H832" s="2" t="s">
        <v>2009</v>
      </c>
      <c r="I832" s="2" t="s">
        <v>2010</v>
      </c>
      <c r="J832" s="2">
        <v>40396</v>
      </c>
      <c r="K832" s="3">
        <v>1544889</v>
      </c>
      <c r="L832">
        <f t="shared" si="24"/>
        <v>0</v>
      </c>
      <c r="N832">
        <f t="shared" si="25"/>
        <v>0</v>
      </c>
    </row>
    <row r="833" spans="1:14" ht="23.25">
      <c r="A833">
        <v>832</v>
      </c>
      <c r="B833" s="2" t="s">
        <v>2011</v>
      </c>
      <c r="C833" s="2">
        <v>1987</v>
      </c>
      <c r="D833" s="2" t="s">
        <v>433</v>
      </c>
      <c r="E833" s="2" t="s">
        <v>47</v>
      </c>
      <c r="F833" s="2">
        <v>7.7</v>
      </c>
      <c r="G833" s="2">
        <v>76</v>
      </c>
      <c r="H833" s="2" t="s">
        <v>1135</v>
      </c>
      <c r="I833" s="2" t="s">
        <v>2012</v>
      </c>
      <c r="J833" s="2">
        <v>94326</v>
      </c>
      <c r="K833" s="3">
        <v>43984230</v>
      </c>
      <c r="L833">
        <f t="shared" si="24"/>
        <v>0</v>
      </c>
      <c r="N833">
        <f t="shared" si="25"/>
        <v>0</v>
      </c>
    </row>
    <row r="834" spans="1:14" ht="23.25">
      <c r="A834">
        <v>833</v>
      </c>
      <c r="B834" s="2" t="s">
        <v>2013</v>
      </c>
      <c r="C834" s="2">
        <v>1987</v>
      </c>
      <c r="D834" s="2" t="s">
        <v>97</v>
      </c>
      <c r="E834" s="2" t="s">
        <v>27</v>
      </c>
      <c r="F834" s="2">
        <v>7.7</v>
      </c>
      <c r="G834" s="2">
        <v>62</v>
      </c>
      <c r="H834" s="2" t="s">
        <v>48</v>
      </c>
      <c r="I834" s="2" t="s">
        <v>29</v>
      </c>
      <c r="J834" s="2">
        <v>115677</v>
      </c>
      <c r="K834" s="3">
        <v>22238696</v>
      </c>
      <c r="L834">
        <f t="shared" si="24"/>
        <v>0</v>
      </c>
      <c r="N834">
        <f t="shared" si="25"/>
        <v>0</v>
      </c>
    </row>
    <row r="835" spans="1:14" ht="35.25">
      <c r="A835">
        <v>834</v>
      </c>
      <c r="B835" s="2" t="s">
        <v>2014</v>
      </c>
      <c r="C835" s="2">
        <v>1986</v>
      </c>
      <c r="D835" s="2" t="s">
        <v>105</v>
      </c>
      <c r="E835" s="2" t="s">
        <v>22</v>
      </c>
      <c r="F835" s="2">
        <v>7.7</v>
      </c>
      <c r="G835" s="2">
        <v>54</v>
      </c>
      <c r="H835" s="2" t="s">
        <v>2015</v>
      </c>
      <c r="I835" s="2" t="s">
        <v>1720</v>
      </c>
      <c r="J835" s="2">
        <v>102031</v>
      </c>
      <c r="K835" s="3">
        <v>7153487</v>
      </c>
      <c r="L835">
        <f t="shared" ref="L835:L898" si="26">IF(AND(F835&gt;=8.2, G835&gt;8.2), 1, 0)</f>
        <v>0</v>
      </c>
      <c r="N835">
        <f t="shared" ref="N835:N898" si="27">IF(K835&gt;=50000000, 1, 0)</f>
        <v>0</v>
      </c>
    </row>
    <row r="836" spans="1:14" ht="23.25">
      <c r="A836">
        <v>835</v>
      </c>
      <c r="B836" s="2" t="s">
        <v>2016</v>
      </c>
      <c r="C836" s="2">
        <v>1986</v>
      </c>
      <c r="D836" s="2" t="s">
        <v>660</v>
      </c>
      <c r="E836" s="2" t="s">
        <v>60</v>
      </c>
      <c r="F836" s="2">
        <v>7.7</v>
      </c>
      <c r="G836" s="2">
        <v>76</v>
      </c>
      <c r="H836" s="2" t="s">
        <v>789</v>
      </c>
      <c r="I836" s="2" t="s">
        <v>2017</v>
      </c>
      <c r="J836" s="2">
        <v>181285</v>
      </c>
      <c r="K836" s="3">
        <v>8551228</v>
      </c>
      <c r="L836">
        <f t="shared" si="26"/>
        <v>0</v>
      </c>
      <c r="N836">
        <f t="shared" si="27"/>
        <v>0</v>
      </c>
    </row>
    <row r="837" spans="1:14" ht="23.25">
      <c r="A837">
        <v>836</v>
      </c>
      <c r="B837" s="2" t="s">
        <v>2018</v>
      </c>
      <c r="C837" s="2">
        <v>1985</v>
      </c>
      <c r="D837" s="2" t="s">
        <v>1369</v>
      </c>
      <c r="E837" s="2" t="s">
        <v>93</v>
      </c>
      <c r="F837" s="2">
        <v>7.7</v>
      </c>
      <c r="G837" s="2">
        <v>75</v>
      </c>
      <c r="H837" s="2" t="s">
        <v>1116</v>
      </c>
      <c r="I837" s="2" t="s">
        <v>1139</v>
      </c>
      <c r="J837" s="2">
        <v>47102</v>
      </c>
      <c r="K837" s="3">
        <v>10631333</v>
      </c>
      <c r="L837">
        <f t="shared" si="26"/>
        <v>0</v>
      </c>
      <c r="N837">
        <f t="shared" si="27"/>
        <v>0</v>
      </c>
    </row>
    <row r="838" spans="1:14" ht="23.25">
      <c r="A838">
        <v>837</v>
      </c>
      <c r="B838" s="2" t="s">
        <v>2019</v>
      </c>
      <c r="C838" s="2">
        <v>1985</v>
      </c>
      <c r="D838" s="2" t="s">
        <v>1191</v>
      </c>
      <c r="E838" s="2" t="s">
        <v>93</v>
      </c>
      <c r="F838" s="2">
        <v>7.7</v>
      </c>
      <c r="G838" s="2">
        <v>90</v>
      </c>
      <c r="H838" s="2" t="s">
        <v>76</v>
      </c>
      <c r="I838" s="2" t="s">
        <v>2020</v>
      </c>
      <c r="J838" s="2">
        <v>59635</v>
      </c>
      <c r="K838" s="3">
        <v>10600000</v>
      </c>
      <c r="L838">
        <f t="shared" si="26"/>
        <v>0</v>
      </c>
      <c r="N838">
        <f t="shared" si="27"/>
        <v>0</v>
      </c>
    </row>
    <row r="839" spans="1:14" ht="25.5">
      <c r="A839">
        <v>838</v>
      </c>
      <c r="B839" s="2" t="s">
        <v>2021</v>
      </c>
      <c r="C839" s="2">
        <v>1983</v>
      </c>
      <c r="D839" s="2" t="s">
        <v>2022</v>
      </c>
      <c r="E839" s="2" t="s">
        <v>281</v>
      </c>
      <c r="F839" s="2">
        <v>7.7</v>
      </c>
      <c r="G839" s="4" t="s">
        <v>90</v>
      </c>
      <c r="H839" s="2" t="s">
        <v>1116</v>
      </c>
      <c r="I839" s="2" t="s">
        <v>1116</v>
      </c>
      <c r="J839" s="2">
        <v>39881</v>
      </c>
      <c r="K839" s="3">
        <v>11798616</v>
      </c>
      <c r="L839">
        <f t="shared" si="26"/>
        <v>0</v>
      </c>
      <c r="N839">
        <f t="shared" si="27"/>
        <v>0</v>
      </c>
    </row>
    <row r="840" spans="1:14" ht="23.25">
      <c r="A840">
        <v>839</v>
      </c>
      <c r="B840" s="2" t="s">
        <v>2023</v>
      </c>
      <c r="C840" s="2">
        <v>1982</v>
      </c>
      <c r="D840" s="2" t="s">
        <v>368</v>
      </c>
      <c r="E840" s="2" t="s">
        <v>17</v>
      </c>
      <c r="F840" s="2">
        <v>7.7</v>
      </c>
      <c r="G840" s="2">
        <v>77</v>
      </c>
      <c r="H840" s="2" t="s">
        <v>35</v>
      </c>
      <c r="I840" s="2" t="s">
        <v>370</v>
      </c>
      <c r="J840" s="2">
        <v>36096</v>
      </c>
      <c r="K840" s="3">
        <v>54000000</v>
      </c>
      <c r="L840">
        <f t="shared" si="26"/>
        <v>0</v>
      </c>
      <c r="N840">
        <f t="shared" si="27"/>
        <v>1</v>
      </c>
    </row>
    <row r="841" spans="1:14" ht="23.25">
      <c r="A841">
        <v>840</v>
      </c>
      <c r="B841" s="2" t="s">
        <v>2024</v>
      </c>
      <c r="C841" s="2">
        <v>1982</v>
      </c>
      <c r="D841" s="2" t="s">
        <v>257</v>
      </c>
      <c r="E841" s="2" t="s">
        <v>27</v>
      </c>
      <c r="F841" s="2">
        <v>7.7</v>
      </c>
      <c r="G841" s="2">
        <v>67</v>
      </c>
      <c r="H841" s="2" t="s">
        <v>2025</v>
      </c>
      <c r="I841" s="2" t="s">
        <v>2026</v>
      </c>
      <c r="J841" s="2">
        <v>112704</v>
      </c>
      <c r="K841" s="3">
        <v>78912963</v>
      </c>
      <c r="L841">
        <f t="shared" si="26"/>
        <v>0</v>
      </c>
      <c r="N841">
        <f t="shared" si="27"/>
        <v>1</v>
      </c>
    </row>
    <row r="842" spans="1:14" ht="23.25">
      <c r="A842">
        <v>841</v>
      </c>
      <c r="B842" s="2" t="s">
        <v>2027</v>
      </c>
      <c r="C842" s="2">
        <v>1982</v>
      </c>
      <c r="D842" s="2" t="s">
        <v>649</v>
      </c>
      <c r="E842" s="2" t="s">
        <v>27</v>
      </c>
      <c r="F842" s="2">
        <v>7.7</v>
      </c>
      <c r="G842" s="2">
        <v>61</v>
      </c>
      <c r="H842" s="2" t="s">
        <v>2028</v>
      </c>
      <c r="I842" s="2" t="s">
        <v>798</v>
      </c>
      <c r="J842" s="2">
        <v>226541</v>
      </c>
      <c r="K842" s="3">
        <v>47212904</v>
      </c>
      <c r="L842">
        <f t="shared" si="26"/>
        <v>0</v>
      </c>
      <c r="N842">
        <f t="shared" si="27"/>
        <v>0</v>
      </c>
    </row>
    <row r="843" spans="1:14" ht="23.25">
      <c r="A843">
        <v>842</v>
      </c>
      <c r="B843" s="2" t="s">
        <v>2029</v>
      </c>
      <c r="C843" s="2">
        <v>1980</v>
      </c>
      <c r="D843" s="2" t="s">
        <v>79</v>
      </c>
      <c r="E843" s="2" t="s">
        <v>17</v>
      </c>
      <c r="F843" s="2">
        <v>7.7</v>
      </c>
      <c r="G843" s="2">
        <v>86</v>
      </c>
      <c r="H843" s="2" t="s">
        <v>2030</v>
      </c>
      <c r="I843" s="2" t="s">
        <v>2031</v>
      </c>
      <c r="J843" s="2">
        <v>47099</v>
      </c>
      <c r="K843" s="3">
        <v>54800000</v>
      </c>
      <c r="L843">
        <f t="shared" si="26"/>
        <v>0</v>
      </c>
      <c r="N843">
        <f t="shared" si="27"/>
        <v>1</v>
      </c>
    </row>
    <row r="844" spans="1:14" ht="23.25">
      <c r="A844">
        <v>843</v>
      </c>
      <c r="B844" s="2" t="s">
        <v>2032</v>
      </c>
      <c r="C844" s="2">
        <v>1980</v>
      </c>
      <c r="D844" s="2" t="s">
        <v>174</v>
      </c>
      <c r="E844" s="2" t="s">
        <v>281</v>
      </c>
      <c r="F844" s="2">
        <v>7.7</v>
      </c>
      <c r="G844" s="2">
        <v>78</v>
      </c>
      <c r="H844" s="2" t="s">
        <v>2033</v>
      </c>
      <c r="I844" s="2" t="s">
        <v>2034</v>
      </c>
      <c r="J844" s="2">
        <v>214882</v>
      </c>
      <c r="K844" s="3">
        <v>83400000</v>
      </c>
      <c r="L844">
        <f t="shared" si="26"/>
        <v>0</v>
      </c>
      <c r="N844">
        <f t="shared" si="27"/>
        <v>1</v>
      </c>
    </row>
    <row r="845" spans="1:14" ht="35.25">
      <c r="A845">
        <v>844</v>
      </c>
      <c r="B845" s="2" t="s">
        <v>2035</v>
      </c>
      <c r="C845" s="2">
        <v>1979</v>
      </c>
      <c r="D845" s="2" t="s">
        <v>614</v>
      </c>
      <c r="E845" s="2" t="s">
        <v>110</v>
      </c>
      <c r="F845" s="2">
        <v>7.7</v>
      </c>
      <c r="G845" s="2">
        <v>71</v>
      </c>
      <c r="H845" s="2" t="s">
        <v>111</v>
      </c>
      <c r="I845" s="2" t="s">
        <v>2036</v>
      </c>
      <c r="J845" s="2">
        <v>27014</v>
      </c>
      <c r="K845" s="4" t="s">
        <v>90</v>
      </c>
      <c r="L845">
        <f t="shared" si="26"/>
        <v>0</v>
      </c>
      <c r="N845">
        <f t="shared" si="27"/>
        <v>1</v>
      </c>
    </row>
    <row r="846" spans="1:14" ht="23.25">
      <c r="A846">
        <v>845</v>
      </c>
      <c r="B846" s="2" t="s">
        <v>2037</v>
      </c>
      <c r="C846" s="2">
        <v>1978</v>
      </c>
      <c r="D846" s="2" t="s">
        <v>542</v>
      </c>
      <c r="E846" s="2" t="s">
        <v>194</v>
      </c>
      <c r="F846" s="2">
        <v>7.7</v>
      </c>
      <c r="G846" s="2">
        <v>87</v>
      </c>
      <c r="H846" s="2" t="s">
        <v>776</v>
      </c>
      <c r="I846" s="2" t="s">
        <v>2038</v>
      </c>
      <c r="J846" s="2">
        <v>233106</v>
      </c>
      <c r="K846" s="3">
        <v>47000000</v>
      </c>
      <c r="L846">
        <f t="shared" si="26"/>
        <v>0</v>
      </c>
      <c r="N846">
        <f t="shared" si="27"/>
        <v>0</v>
      </c>
    </row>
    <row r="847" spans="1:14" ht="23.25">
      <c r="A847">
        <v>846</v>
      </c>
      <c r="B847" s="2" t="s">
        <v>2039</v>
      </c>
      <c r="C847" s="2">
        <v>1976</v>
      </c>
      <c r="D847" s="2" t="s">
        <v>206</v>
      </c>
      <c r="E847" s="2" t="s">
        <v>60</v>
      </c>
      <c r="F847" s="2">
        <v>7.7</v>
      </c>
      <c r="G847" s="2">
        <v>71</v>
      </c>
      <c r="H847" s="2" t="s">
        <v>156</v>
      </c>
      <c r="I847" s="2" t="s">
        <v>156</v>
      </c>
      <c r="J847" s="2">
        <v>39889</v>
      </c>
      <c r="K847" s="3">
        <v>1924733</v>
      </c>
      <c r="L847">
        <f t="shared" si="26"/>
        <v>0</v>
      </c>
      <c r="N847">
        <f t="shared" si="27"/>
        <v>0</v>
      </c>
    </row>
    <row r="848" spans="1:14" ht="25.5">
      <c r="A848">
        <v>847</v>
      </c>
      <c r="B848" s="2" t="s">
        <v>2040</v>
      </c>
      <c r="C848" s="2">
        <v>1975</v>
      </c>
      <c r="D848" s="2" t="s">
        <v>819</v>
      </c>
      <c r="E848" s="2" t="s">
        <v>93</v>
      </c>
      <c r="F848" s="2">
        <v>7.7</v>
      </c>
      <c r="G848" s="2">
        <v>89</v>
      </c>
      <c r="H848" s="2" t="s">
        <v>1116</v>
      </c>
      <c r="I848" s="2" t="s">
        <v>1116</v>
      </c>
      <c r="J848" s="2">
        <v>36037</v>
      </c>
      <c r="K848" s="4" t="s">
        <v>90</v>
      </c>
      <c r="L848">
        <f t="shared" si="26"/>
        <v>0</v>
      </c>
      <c r="N848">
        <f t="shared" si="27"/>
        <v>1</v>
      </c>
    </row>
    <row r="849" spans="1:14" ht="35.25">
      <c r="A849">
        <v>848</v>
      </c>
      <c r="B849" s="2" t="s">
        <v>2041</v>
      </c>
      <c r="C849" s="2">
        <v>1974</v>
      </c>
      <c r="D849" s="2" t="s">
        <v>295</v>
      </c>
      <c r="E849" s="2" t="s">
        <v>27</v>
      </c>
      <c r="F849" s="2">
        <v>7.7</v>
      </c>
      <c r="G849" s="2">
        <v>68</v>
      </c>
      <c r="H849" s="2" t="s">
        <v>2042</v>
      </c>
      <c r="I849" s="2" t="s">
        <v>2043</v>
      </c>
      <c r="J849" s="2">
        <v>26729</v>
      </c>
      <c r="K849" s="4" t="s">
        <v>90</v>
      </c>
      <c r="L849">
        <f t="shared" si="26"/>
        <v>0</v>
      </c>
      <c r="N849">
        <f t="shared" si="27"/>
        <v>1</v>
      </c>
    </row>
    <row r="850" spans="1:14" ht="23.25">
      <c r="A850">
        <v>849</v>
      </c>
      <c r="B850" s="2" t="s">
        <v>2044</v>
      </c>
      <c r="C850" s="2">
        <v>1974</v>
      </c>
      <c r="D850" s="2" t="s">
        <v>649</v>
      </c>
      <c r="E850" s="2" t="s">
        <v>93</v>
      </c>
      <c r="F850" s="2">
        <v>7.7</v>
      </c>
      <c r="G850" s="2">
        <v>73</v>
      </c>
      <c r="H850" s="2" t="s">
        <v>1121</v>
      </c>
      <c r="I850" s="2" t="s">
        <v>2045</v>
      </c>
      <c r="J850" s="2">
        <v>125993</v>
      </c>
      <c r="K850" s="3">
        <v>119500000</v>
      </c>
      <c r="L850">
        <f t="shared" si="26"/>
        <v>0</v>
      </c>
      <c r="N850">
        <f t="shared" si="27"/>
        <v>1</v>
      </c>
    </row>
    <row r="851" spans="1:14" ht="23.25">
      <c r="A851">
        <v>850</v>
      </c>
      <c r="B851" s="2" t="s">
        <v>2046</v>
      </c>
      <c r="C851" s="2">
        <v>1973</v>
      </c>
      <c r="D851" s="2" t="s">
        <v>105</v>
      </c>
      <c r="E851" s="2" t="s">
        <v>47</v>
      </c>
      <c r="F851" s="2">
        <v>7.7</v>
      </c>
      <c r="G851" s="2">
        <v>87</v>
      </c>
      <c r="H851" s="2" t="s">
        <v>35</v>
      </c>
      <c r="I851" s="2" t="s">
        <v>32</v>
      </c>
      <c r="J851" s="2">
        <v>109941</v>
      </c>
      <c r="K851" s="3">
        <v>29800000</v>
      </c>
      <c r="L851">
        <f t="shared" si="26"/>
        <v>0</v>
      </c>
      <c r="N851">
        <f t="shared" si="27"/>
        <v>0</v>
      </c>
    </row>
    <row r="852" spans="1:14" ht="23.25">
      <c r="A852">
        <v>851</v>
      </c>
      <c r="B852" s="2" t="s">
        <v>2047</v>
      </c>
      <c r="C852" s="2">
        <v>1973</v>
      </c>
      <c r="D852" s="2" t="s">
        <v>198</v>
      </c>
      <c r="E852" s="2" t="s">
        <v>27</v>
      </c>
      <c r="F852" s="2">
        <v>7.7</v>
      </c>
      <c r="G852" s="2">
        <v>83</v>
      </c>
      <c r="H852" s="2" t="s">
        <v>2048</v>
      </c>
      <c r="I852" s="2" t="s">
        <v>2049</v>
      </c>
      <c r="J852" s="2">
        <v>96561</v>
      </c>
      <c r="K852" s="3">
        <v>25000000</v>
      </c>
      <c r="L852">
        <f t="shared" si="26"/>
        <v>0</v>
      </c>
      <c r="N852">
        <f t="shared" si="27"/>
        <v>0</v>
      </c>
    </row>
    <row r="853" spans="1:14" ht="23.25">
      <c r="A853">
        <v>852</v>
      </c>
      <c r="B853" s="2" t="s">
        <v>2050</v>
      </c>
      <c r="C853" s="2">
        <v>1972</v>
      </c>
      <c r="D853" s="2" t="s">
        <v>193</v>
      </c>
      <c r="E853" s="2" t="s">
        <v>102</v>
      </c>
      <c r="F853" s="2">
        <v>7.7</v>
      </c>
      <c r="G853" s="2">
        <v>80</v>
      </c>
      <c r="H853" s="2" t="s">
        <v>2051</v>
      </c>
      <c r="I853" s="2" t="s">
        <v>2052</v>
      </c>
      <c r="J853" s="2">
        <v>98740</v>
      </c>
      <c r="K853" s="3">
        <v>7056013</v>
      </c>
      <c r="L853">
        <f t="shared" si="26"/>
        <v>0</v>
      </c>
      <c r="N853">
        <f t="shared" si="27"/>
        <v>0</v>
      </c>
    </row>
    <row r="854" spans="1:14" ht="23.25">
      <c r="A854">
        <v>853</v>
      </c>
      <c r="B854" s="2" t="s">
        <v>2053</v>
      </c>
      <c r="C854" s="2">
        <v>1971</v>
      </c>
      <c r="D854" s="2" t="s">
        <v>295</v>
      </c>
      <c r="E854" s="2" t="s">
        <v>27</v>
      </c>
      <c r="F854" s="2">
        <v>7.7</v>
      </c>
      <c r="G854" s="2">
        <v>94</v>
      </c>
      <c r="H854" s="2" t="s">
        <v>1127</v>
      </c>
      <c r="I854" s="2" t="s">
        <v>1685</v>
      </c>
      <c r="J854" s="2">
        <v>110075</v>
      </c>
      <c r="K854" s="3">
        <v>15630710</v>
      </c>
      <c r="L854">
        <f t="shared" si="26"/>
        <v>0</v>
      </c>
      <c r="N854">
        <f t="shared" si="27"/>
        <v>0</v>
      </c>
    </row>
    <row r="855" spans="1:14" ht="23.25">
      <c r="A855">
        <v>854</v>
      </c>
      <c r="B855" s="2" t="s">
        <v>2054</v>
      </c>
      <c r="C855" s="2">
        <v>1971</v>
      </c>
      <c r="D855" s="2" t="s">
        <v>198</v>
      </c>
      <c r="E855" s="2" t="s">
        <v>27</v>
      </c>
      <c r="F855" s="2">
        <v>7.7</v>
      </c>
      <c r="G855" s="2">
        <v>90</v>
      </c>
      <c r="H855" s="2" t="s">
        <v>2055</v>
      </c>
      <c r="I855" s="2" t="s">
        <v>67</v>
      </c>
      <c r="J855" s="2">
        <v>143292</v>
      </c>
      <c r="K855" s="3">
        <v>35900000</v>
      </c>
      <c r="L855">
        <f t="shared" si="26"/>
        <v>0</v>
      </c>
      <c r="N855">
        <f t="shared" si="27"/>
        <v>0</v>
      </c>
    </row>
    <row r="856" spans="1:14" ht="25.5">
      <c r="A856">
        <v>855</v>
      </c>
      <c r="B856" s="2" t="s">
        <v>2056</v>
      </c>
      <c r="C856" s="2">
        <v>1968</v>
      </c>
      <c r="D856" s="2" t="s">
        <v>473</v>
      </c>
      <c r="E856" s="2" t="s">
        <v>27</v>
      </c>
      <c r="F856" s="2">
        <v>7.7</v>
      </c>
      <c r="G856" s="2">
        <v>63</v>
      </c>
      <c r="H856" s="2" t="s">
        <v>2057</v>
      </c>
      <c r="I856" s="2" t="s">
        <v>2058</v>
      </c>
      <c r="J856" s="2">
        <v>51913</v>
      </c>
      <c r="K856" s="4" t="s">
        <v>90</v>
      </c>
      <c r="L856">
        <f t="shared" si="26"/>
        <v>0</v>
      </c>
      <c r="N856">
        <f t="shared" si="27"/>
        <v>1</v>
      </c>
    </row>
    <row r="857" spans="1:14" ht="23.25">
      <c r="A857">
        <v>856</v>
      </c>
      <c r="B857" s="2" t="s">
        <v>2059</v>
      </c>
      <c r="C857" s="2">
        <v>1968</v>
      </c>
      <c r="D857" s="2" t="s">
        <v>233</v>
      </c>
      <c r="E857" s="2" t="s">
        <v>281</v>
      </c>
      <c r="F857" s="2">
        <v>7.7</v>
      </c>
      <c r="G857" s="2">
        <v>86</v>
      </c>
      <c r="H857" s="2" t="s">
        <v>2060</v>
      </c>
      <c r="I857" s="2" t="s">
        <v>381</v>
      </c>
      <c r="J857" s="2">
        <v>31572</v>
      </c>
      <c r="K857" s="3">
        <v>44527234</v>
      </c>
      <c r="L857">
        <f t="shared" si="26"/>
        <v>0</v>
      </c>
      <c r="N857">
        <f t="shared" si="27"/>
        <v>0</v>
      </c>
    </row>
    <row r="858" spans="1:14" ht="23.25">
      <c r="A858">
        <v>857</v>
      </c>
      <c r="B858" s="2" t="s">
        <v>2061</v>
      </c>
      <c r="C858" s="2">
        <v>1967</v>
      </c>
      <c r="D858" s="2" t="s">
        <v>155</v>
      </c>
      <c r="E858" s="2" t="s">
        <v>27</v>
      </c>
      <c r="F858" s="2">
        <v>7.7</v>
      </c>
      <c r="G858" s="2">
        <v>73</v>
      </c>
      <c r="H858" s="2" t="s">
        <v>831</v>
      </c>
      <c r="I858" s="2" t="s">
        <v>2062</v>
      </c>
      <c r="J858" s="2">
        <v>67183</v>
      </c>
      <c r="K858" s="3">
        <v>45300000</v>
      </c>
      <c r="L858">
        <f t="shared" si="26"/>
        <v>0</v>
      </c>
      <c r="N858">
        <f t="shared" si="27"/>
        <v>0</v>
      </c>
    </row>
    <row r="859" spans="1:14" ht="25.5">
      <c r="A859">
        <v>858</v>
      </c>
      <c r="B859" s="2" t="s">
        <v>2063</v>
      </c>
      <c r="C859" s="2">
        <v>1967</v>
      </c>
      <c r="D859" s="2" t="s">
        <v>614</v>
      </c>
      <c r="E859" s="2" t="s">
        <v>60</v>
      </c>
      <c r="F859" s="2">
        <v>7.7</v>
      </c>
      <c r="G859" s="4" t="s">
        <v>90</v>
      </c>
      <c r="H859" s="2" t="s">
        <v>828</v>
      </c>
      <c r="I859" s="2" t="s">
        <v>2064</v>
      </c>
      <c r="J859" s="2">
        <v>40274</v>
      </c>
      <c r="K859" s="3">
        <v>26331</v>
      </c>
      <c r="L859">
        <f t="shared" si="26"/>
        <v>0</v>
      </c>
      <c r="N859">
        <f t="shared" si="27"/>
        <v>0</v>
      </c>
    </row>
    <row r="860" spans="1:14" ht="23.25">
      <c r="A860">
        <v>859</v>
      </c>
      <c r="B860" s="2" t="s">
        <v>2065</v>
      </c>
      <c r="C860" s="2">
        <v>1966</v>
      </c>
      <c r="D860" s="2" t="s">
        <v>660</v>
      </c>
      <c r="E860" s="2" t="s">
        <v>47</v>
      </c>
      <c r="F860" s="2">
        <v>7.7</v>
      </c>
      <c r="G860" s="2">
        <v>72</v>
      </c>
      <c r="H860" s="2" t="s">
        <v>1421</v>
      </c>
      <c r="I860" s="2" t="s">
        <v>2066</v>
      </c>
      <c r="J860" s="2">
        <v>31222</v>
      </c>
      <c r="K860" s="3">
        <v>28350000</v>
      </c>
      <c r="L860">
        <f t="shared" si="26"/>
        <v>0</v>
      </c>
      <c r="N860">
        <f t="shared" si="27"/>
        <v>0</v>
      </c>
    </row>
    <row r="861" spans="1:14" ht="25.5">
      <c r="A861">
        <v>860</v>
      </c>
      <c r="B861" s="2" t="s">
        <v>2067</v>
      </c>
      <c r="C861" s="2">
        <v>1965</v>
      </c>
      <c r="D861" s="2" t="s">
        <v>233</v>
      </c>
      <c r="E861" s="2" t="s">
        <v>60</v>
      </c>
      <c r="F861" s="2">
        <v>7.7</v>
      </c>
      <c r="G861" s="2">
        <v>91</v>
      </c>
      <c r="H861" s="2" t="s">
        <v>156</v>
      </c>
      <c r="I861" s="2" t="s">
        <v>2064</v>
      </c>
      <c r="J861" s="2">
        <v>48883</v>
      </c>
      <c r="K861" s="4" t="s">
        <v>90</v>
      </c>
      <c r="L861">
        <f t="shared" si="26"/>
        <v>0</v>
      </c>
      <c r="N861">
        <f t="shared" si="27"/>
        <v>1</v>
      </c>
    </row>
    <row r="862" spans="1:14" ht="25.5">
      <c r="A862">
        <v>861</v>
      </c>
      <c r="B862" s="2" t="s">
        <v>2068</v>
      </c>
      <c r="C862" s="2">
        <v>1964</v>
      </c>
      <c r="D862" s="2" t="s">
        <v>410</v>
      </c>
      <c r="E862" s="2" t="s">
        <v>60</v>
      </c>
      <c r="F862" s="2">
        <v>7.7</v>
      </c>
      <c r="G862" s="2">
        <v>77</v>
      </c>
      <c r="H862" s="2" t="s">
        <v>2069</v>
      </c>
      <c r="I862" s="2" t="s">
        <v>2070</v>
      </c>
      <c r="J862" s="2">
        <v>35999</v>
      </c>
      <c r="K862" s="4" t="s">
        <v>90</v>
      </c>
      <c r="L862">
        <f t="shared" si="26"/>
        <v>0</v>
      </c>
      <c r="N862">
        <f t="shared" si="27"/>
        <v>1</v>
      </c>
    </row>
    <row r="863" spans="1:14" ht="23.25">
      <c r="A863">
        <v>862</v>
      </c>
      <c r="B863" s="2" t="s">
        <v>2071</v>
      </c>
      <c r="C863" s="2">
        <v>1964</v>
      </c>
      <c r="D863" s="2" t="s">
        <v>170</v>
      </c>
      <c r="E863" s="2" t="s">
        <v>27</v>
      </c>
      <c r="F863" s="2">
        <v>7.7</v>
      </c>
      <c r="G863" s="2">
        <v>87</v>
      </c>
      <c r="H863" s="2" t="s">
        <v>2072</v>
      </c>
      <c r="I863" s="2" t="s">
        <v>1720</v>
      </c>
      <c r="J863" s="2">
        <v>174119</v>
      </c>
      <c r="K863" s="3">
        <v>51081062</v>
      </c>
      <c r="L863">
        <f t="shared" si="26"/>
        <v>0</v>
      </c>
      <c r="N863">
        <f t="shared" si="27"/>
        <v>1</v>
      </c>
    </row>
    <row r="864" spans="1:14" ht="23.25">
      <c r="A864">
        <v>863</v>
      </c>
      <c r="B864" s="2" t="s">
        <v>2073</v>
      </c>
      <c r="C864" s="2">
        <v>1963</v>
      </c>
      <c r="D864" s="2" t="s">
        <v>163</v>
      </c>
      <c r="E864" s="2" t="s">
        <v>60</v>
      </c>
      <c r="F864" s="2">
        <v>7.7</v>
      </c>
      <c r="G864" s="2">
        <v>90</v>
      </c>
      <c r="H864" s="2" t="s">
        <v>195</v>
      </c>
      <c r="I864" s="2" t="s">
        <v>2074</v>
      </c>
      <c r="J864" s="2">
        <v>171739</v>
      </c>
      <c r="K864" s="3">
        <v>11403529</v>
      </c>
      <c r="L864">
        <f t="shared" si="26"/>
        <v>0</v>
      </c>
      <c r="N864">
        <f t="shared" si="27"/>
        <v>0</v>
      </c>
    </row>
    <row r="865" spans="1:14" ht="25.5">
      <c r="A865">
        <v>864</v>
      </c>
      <c r="B865" s="2" t="s">
        <v>2075</v>
      </c>
      <c r="C865" s="2">
        <v>1962</v>
      </c>
      <c r="D865" s="2" t="s">
        <v>144</v>
      </c>
      <c r="E865" s="2" t="s">
        <v>60</v>
      </c>
      <c r="F865" s="2">
        <v>7.7</v>
      </c>
      <c r="G865" s="2">
        <v>76</v>
      </c>
      <c r="H865" s="2" t="s">
        <v>2076</v>
      </c>
      <c r="I865" s="2" t="s">
        <v>551</v>
      </c>
      <c r="J865" s="2">
        <v>26457</v>
      </c>
      <c r="K865" s="4" t="s">
        <v>90</v>
      </c>
      <c r="L865">
        <f t="shared" si="26"/>
        <v>0</v>
      </c>
      <c r="N865">
        <f t="shared" si="27"/>
        <v>1</v>
      </c>
    </row>
    <row r="866" spans="1:14" ht="25.5">
      <c r="A866">
        <v>865</v>
      </c>
      <c r="B866" s="2" t="s">
        <v>2077</v>
      </c>
      <c r="C866" s="2">
        <v>1960</v>
      </c>
      <c r="D866" s="2" t="s">
        <v>253</v>
      </c>
      <c r="E866" s="2" t="s">
        <v>60</v>
      </c>
      <c r="F866" s="2">
        <v>7.7</v>
      </c>
      <c r="G866" s="4" t="s">
        <v>90</v>
      </c>
      <c r="H866" s="2" t="s">
        <v>865</v>
      </c>
      <c r="I866" s="2" t="s">
        <v>2078</v>
      </c>
      <c r="J866" s="2">
        <v>31354</v>
      </c>
      <c r="K866" s="3">
        <v>83957</v>
      </c>
      <c r="L866">
        <f t="shared" si="26"/>
        <v>0</v>
      </c>
      <c r="N866">
        <f t="shared" si="27"/>
        <v>0</v>
      </c>
    </row>
    <row r="867" spans="1:14" ht="23.25">
      <c r="A867">
        <v>866</v>
      </c>
      <c r="B867" s="2" t="s">
        <v>2079</v>
      </c>
      <c r="C867" s="2">
        <v>1960</v>
      </c>
      <c r="D867" s="2" t="s">
        <v>385</v>
      </c>
      <c r="E867" s="2" t="s">
        <v>27</v>
      </c>
      <c r="F867" s="2">
        <v>7.7</v>
      </c>
      <c r="G867" s="2">
        <v>74</v>
      </c>
      <c r="H867" s="2" t="s">
        <v>547</v>
      </c>
      <c r="I867" s="2" t="s">
        <v>2080</v>
      </c>
      <c r="J867" s="2">
        <v>87719</v>
      </c>
      <c r="K867" s="3">
        <v>4905000</v>
      </c>
      <c r="L867">
        <f t="shared" si="26"/>
        <v>0</v>
      </c>
      <c r="N867">
        <f t="shared" si="27"/>
        <v>0</v>
      </c>
    </row>
    <row r="868" spans="1:14" ht="23.25">
      <c r="A868">
        <v>867</v>
      </c>
      <c r="B868" s="2" t="s">
        <v>2081</v>
      </c>
      <c r="C868" s="2">
        <v>1960</v>
      </c>
      <c r="D868" s="2" t="s">
        <v>1080</v>
      </c>
      <c r="E868" s="2" t="s">
        <v>60</v>
      </c>
      <c r="F868" s="2">
        <v>7.7</v>
      </c>
      <c r="G868" s="2">
        <v>90</v>
      </c>
      <c r="H868" s="2" t="s">
        <v>2082</v>
      </c>
      <c r="I868" s="2" t="s">
        <v>2083</v>
      </c>
      <c r="J868" s="2">
        <v>27620</v>
      </c>
      <c r="K868" s="3">
        <v>52709</v>
      </c>
      <c r="L868">
        <f t="shared" si="26"/>
        <v>0</v>
      </c>
      <c r="N868">
        <f t="shared" si="27"/>
        <v>0</v>
      </c>
    </row>
    <row r="869" spans="1:14" ht="25.5">
      <c r="A869">
        <v>868</v>
      </c>
      <c r="B869" s="2" t="s">
        <v>2084</v>
      </c>
      <c r="C869" s="2">
        <v>1956</v>
      </c>
      <c r="D869" s="2" t="s">
        <v>700</v>
      </c>
      <c r="E869" s="2" t="s">
        <v>60</v>
      </c>
      <c r="F869" s="2">
        <v>7.7</v>
      </c>
      <c r="G869" s="2">
        <v>92</v>
      </c>
      <c r="H869" s="2" t="s">
        <v>2055</v>
      </c>
      <c r="I869" s="2" t="s">
        <v>2085</v>
      </c>
      <c r="J869" s="2">
        <v>44839</v>
      </c>
      <c r="K869" s="4" t="s">
        <v>90</v>
      </c>
      <c r="L869">
        <f t="shared" si="26"/>
        <v>0</v>
      </c>
      <c r="N869">
        <f t="shared" si="27"/>
        <v>1</v>
      </c>
    </row>
    <row r="870" spans="1:14" ht="25.5">
      <c r="A870">
        <v>869</v>
      </c>
      <c r="B870" s="2" t="s">
        <v>2086</v>
      </c>
      <c r="C870" s="2">
        <v>1955</v>
      </c>
      <c r="D870" s="2" t="s">
        <v>708</v>
      </c>
      <c r="E870" s="2" t="s">
        <v>17</v>
      </c>
      <c r="F870" s="2">
        <v>7.7</v>
      </c>
      <c r="G870" s="2">
        <v>89</v>
      </c>
      <c r="H870" s="2" t="s">
        <v>1185</v>
      </c>
      <c r="I870" s="2" t="s">
        <v>1419</v>
      </c>
      <c r="J870" s="2">
        <v>83363</v>
      </c>
      <c r="K870" s="4" t="s">
        <v>90</v>
      </c>
      <c r="L870">
        <f t="shared" si="26"/>
        <v>0</v>
      </c>
      <c r="N870">
        <f t="shared" si="27"/>
        <v>1</v>
      </c>
    </row>
    <row r="871" spans="1:14" ht="35.25">
      <c r="A871">
        <v>870</v>
      </c>
      <c r="B871" s="2" t="s">
        <v>2087</v>
      </c>
      <c r="C871" s="2">
        <v>1955</v>
      </c>
      <c r="D871" s="2" t="s">
        <v>542</v>
      </c>
      <c r="E871" s="2" t="s">
        <v>93</v>
      </c>
      <c r="F871" s="2">
        <v>7.7</v>
      </c>
      <c r="G871" s="2">
        <v>91</v>
      </c>
      <c r="H871" s="2" t="s">
        <v>1170</v>
      </c>
      <c r="I871" s="2" t="s">
        <v>2088</v>
      </c>
      <c r="J871" s="2">
        <v>26464</v>
      </c>
      <c r="K871" s="4" t="s">
        <v>90</v>
      </c>
      <c r="L871">
        <f t="shared" si="26"/>
        <v>0</v>
      </c>
      <c r="N871">
        <f t="shared" si="27"/>
        <v>1</v>
      </c>
    </row>
    <row r="872" spans="1:14" ht="25.5">
      <c r="A872">
        <v>871</v>
      </c>
      <c r="B872" s="2" t="s">
        <v>2089</v>
      </c>
      <c r="C872" s="2">
        <v>1954</v>
      </c>
      <c r="D872" s="2" t="s">
        <v>257</v>
      </c>
      <c r="E872" s="2" t="s">
        <v>93</v>
      </c>
      <c r="F872" s="2">
        <v>7.7</v>
      </c>
      <c r="G872" s="2">
        <v>72</v>
      </c>
      <c r="H872" s="2" t="s">
        <v>284</v>
      </c>
      <c r="I872" s="2" t="s">
        <v>200</v>
      </c>
      <c r="J872" s="2">
        <v>59415</v>
      </c>
      <c r="K872" s="4" t="s">
        <v>90</v>
      </c>
      <c r="L872">
        <f t="shared" si="26"/>
        <v>0</v>
      </c>
      <c r="N872">
        <f t="shared" si="27"/>
        <v>1</v>
      </c>
    </row>
    <row r="873" spans="1:14" ht="25.5">
      <c r="A873">
        <v>872</v>
      </c>
      <c r="B873" s="2" t="s">
        <v>2090</v>
      </c>
      <c r="C873" s="2">
        <v>1952</v>
      </c>
      <c r="D873" s="2" t="s">
        <v>368</v>
      </c>
      <c r="E873" s="2" t="s">
        <v>93</v>
      </c>
      <c r="F873" s="2">
        <v>7.7</v>
      </c>
      <c r="G873" s="4" t="s">
        <v>90</v>
      </c>
      <c r="H873" s="2" t="s">
        <v>834</v>
      </c>
      <c r="I873" s="2" t="s">
        <v>1163</v>
      </c>
      <c r="J873" s="2">
        <v>34677</v>
      </c>
      <c r="K873" s="3">
        <v>10550000</v>
      </c>
      <c r="L873">
        <f t="shared" si="26"/>
        <v>0</v>
      </c>
      <c r="N873">
        <f t="shared" si="27"/>
        <v>0</v>
      </c>
    </row>
    <row r="874" spans="1:14" ht="25.5">
      <c r="A874">
        <v>873</v>
      </c>
      <c r="B874" s="2" t="s">
        <v>2091</v>
      </c>
      <c r="C874" s="2">
        <v>1951</v>
      </c>
      <c r="D874" s="2" t="s">
        <v>676</v>
      </c>
      <c r="E874" s="2" t="s">
        <v>60</v>
      </c>
      <c r="F874" s="2">
        <v>7.7</v>
      </c>
      <c r="G874" s="4" t="s">
        <v>90</v>
      </c>
      <c r="H874" s="2" t="s">
        <v>1146</v>
      </c>
      <c r="I874" s="2" t="s">
        <v>2092</v>
      </c>
      <c r="J874" s="2">
        <v>76315</v>
      </c>
      <c r="K874" s="4" t="s">
        <v>90</v>
      </c>
      <c r="L874">
        <f t="shared" si="26"/>
        <v>0</v>
      </c>
      <c r="N874">
        <f t="shared" si="27"/>
        <v>1</v>
      </c>
    </row>
    <row r="875" spans="1:14" ht="23.25">
      <c r="A875">
        <v>874</v>
      </c>
      <c r="B875" s="2" t="s">
        <v>2093</v>
      </c>
      <c r="C875" s="2">
        <v>1951</v>
      </c>
      <c r="D875" s="2" t="s">
        <v>233</v>
      </c>
      <c r="E875" s="2" t="s">
        <v>102</v>
      </c>
      <c r="F875" s="2">
        <v>7.7</v>
      </c>
      <c r="G875" s="2">
        <v>91</v>
      </c>
      <c r="H875" s="2" t="s">
        <v>575</v>
      </c>
      <c r="I875" s="2" t="s">
        <v>200</v>
      </c>
      <c r="J875" s="2">
        <v>71481</v>
      </c>
      <c r="K875" s="3">
        <v>536118</v>
      </c>
      <c r="L875">
        <f t="shared" si="26"/>
        <v>0</v>
      </c>
      <c r="N875">
        <f t="shared" si="27"/>
        <v>0</v>
      </c>
    </row>
    <row r="876" spans="1:14" ht="25.5">
      <c r="A876">
        <v>875</v>
      </c>
      <c r="B876" s="2" t="s">
        <v>2094</v>
      </c>
      <c r="C876" s="2">
        <v>1946</v>
      </c>
      <c r="D876" s="2" t="s">
        <v>170</v>
      </c>
      <c r="E876" s="2" t="s">
        <v>60</v>
      </c>
      <c r="F876" s="2">
        <v>7.7</v>
      </c>
      <c r="G876" s="4" t="s">
        <v>90</v>
      </c>
      <c r="H876" s="2" t="s">
        <v>2095</v>
      </c>
      <c r="I876" s="2" t="s">
        <v>2096</v>
      </c>
      <c r="J876" s="2">
        <v>27991</v>
      </c>
      <c r="K876" s="4" t="s">
        <v>90</v>
      </c>
      <c r="L876">
        <f t="shared" si="26"/>
        <v>0</v>
      </c>
      <c r="N876">
        <f t="shared" si="27"/>
        <v>1</v>
      </c>
    </row>
    <row r="877" spans="1:14" ht="23.25">
      <c r="A877">
        <v>876</v>
      </c>
      <c r="B877" s="2" t="s">
        <v>2097</v>
      </c>
      <c r="C877" s="2">
        <v>1940</v>
      </c>
      <c r="D877" s="2" t="s">
        <v>109</v>
      </c>
      <c r="E877" s="2" t="s">
        <v>110</v>
      </c>
      <c r="F877" s="2">
        <v>7.7</v>
      </c>
      <c r="G877" s="2">
        <v>96</v>
      </c>
      <c r="H877" s="2" t="s">
        <v>2098</v>
      </c>
      <c r="I877" s="2" t="s">
        <v>2099</v>
      </c>
      <c r="J877" s="2">
        <v>88662</v>
      </c>
      <c r="K877" s="3">
        <v>76408097</v>
      </c>
      <c r="L877">
        <f t="shared" si="26"/>
        <v>0</v>
      </c>
      <c r="N877">
        <f t="shared" si="27"/>
        <v>1</v>
      </c>
    </row>
    <row r="878" spans="1:14" ht="25.5">
      <c r="A878">
        <v>877</v>
      </c>
      <c r="B878" s="2" t="s">
        <v>2100</v>
      </c>
      <c r="C878" s="2">
        <v>1933</v>
      </c>
      <c r="D878" s="2" t="s">
        <v>2101</v>
      </c>
      <c r="E878" s="2" t="s">
        <v>194</v>
      </c>
      <c r="F878" s="2">
        <v>7.7</v>
      </c>
      <c r="G878" s="2">
        <v>87</v>
      </c>
      <c r="H878" s="2" t="s">
        <v>1767</v>
      </c>
      <c r="I878" s="2" t="s">
        <v>2102</v>
      </c>
      <c r="J878" s="2">
        <v>30683</v>
      </c>
      <c r="K878" s="4" t="s">
        <v>90</v>
      </c>
      <c r="L878">
        <f t="shared" si="26"/>
        <v>0</v>
      </c>
      <c r="N878">
        <f t="shared" si="27"/>
        <v>1</v>
      </c>
    </row>
    <row r="879" spans="1:14" ht="25.5">
      <c r="A879">
        <v>878</v>
      </c>
      <c r="B879" s="2" t="s">
        <v>2103</v>
      </c>
      <c r="C879" s="2">
        <v>2019</v>
      </c>
      <c r="D879" s="2" t="s">
        <v>206</v>
      </c>
      <c r="E879" s="2" t="s">
        <v>47</v>
      </c>
      <c r="F879" s="2">
        <v>7.6</v>
      </c>
      <c r="G879" s="2">
        <v>73</v>
      </c>
      <c r="H879" s="2" t="s">
        <v>2104</v>
      </c>
      <c r="I879" s="2" t="s">
        <v>647</v>
      </c>
      <c r="J879" s="2">
        <v>60408</v>
      </c>
      <c r="K879" s="4" t="s">
        <v>90</v>
      </c>
      <c r="L879">
        <f t="shared" si="26"/>
        <v>0</v>
      </c>
      <c r="N879">
        <f t="shared" si="27"/>
        <v>1</v>
      </c>
    </row>
    <row r="880" spans="1:14" ht="23.25">
      <c r="A880">
        <v>879</v>
      </c>
      <c r="B880" s="2" t="s">
        <v>2105</v>
      </c>
      <c r="C880" s="2">
        <v>2018</v>
      </c>
      <c r="D880" s="2" t="s">
        <v>198</v>
      </c>
      <c r="E880" s="2" t="s">
        <v>60</v>
      </c>
      <c r="F880" s="2">
        <v>7.6</v>
      </c>
      <c r="G880" s="2">
        <v>71</v>
      </c>
      <c r="H880" s="2" t="s">
        <v>2106</v>
      </c>
      <c r="I880" s="2" t="s">
        <v>2107</v>
      </c>
      <c r="J880" s="2">
        <v>140840</v>
      </c>
      <c r="K880" s="3">
        <v>26020957</v>
      </c>
      <c r="L880">
        <f t="shared" si="26"/>
        <v>0</v>
      </c>
      <c r="N880">
        <f t="shared" si="27"/>
        <v>0</v>
      </c>
    </row>
    <row r="881" spans="1:14" ht="35.25">
      <c r="A881">
        <v>880</v>
      </c>
      <c r="B881" s="2" t="s">
        <v>2108</v>
      </c>
      <c r="C881" s="2">
        <v>2019</v>
      </c>
      <c r="D881" s="2" t="s">
        <v>64</v>
      </c>
      <c r="E881" s="2" t="s">
        <v>93</v>
      </c>
      <c r="F881" s="2">
        <v>7.6</v>
      </c>
      <c r="G881" s="2">
        <v>83</v>
      </c>
      <c r="H881" s="2" t="s">
        <v>43</v>
      </c>
      <c r="I881" s="2" t="s">
        <v>52</v>
      </c>
      <c r="J881" s="2">
        <v>551309</v>
      </c>
      <c r="K881" s="3">
        <v>142502728</v>
      </c>
      <c r="L881">
        <f t="shared" si="26"/>
        <v>0</v>
      </c>
      <c r="N881">
        <f t="shared" si="27"/>
        <v>1</v>
      </c>
    </row>
    <row r="882" spans="1:14" ht="23.25">
      <c r="A882">
        <v>881</v>
      </c>
      <c r="B882" s="2" t="s">
        <v>2109</v>
      </c>
      <c r="C882" s="2">
        <v>2017</v>
      </c>
      <c r="D882" s="2" t="s">
        <v>120</v>
      </c>
      <c r="E882" s="2" t="s">
        <v>17</v>
      </c>
      <c r="F882" s="2">
        <v>7.6</v>
      </c>
      <c r="G882" s="2">
        <v>86</v>
      </c>
      <c r="H882" s="2" t="s">
        <v>1008</v>
      </c>
      <c r="I882" s="2" t="s">
        <v>2110</v>
      </c>
      <c r="J882" s="2">
        <v>29765</v>
      </c>
      <c r="K882" s="3">
        <v>566356</v>
      </c>
      <c r="L882">
        <f t="shared" si="26"/>
        <v>0</v>
      </c>
      <c r="N882">
        <f t="shared" si="27"/>
        <v>0</v>
      </c>
    </row>
    <row r="883" spans="1:14" ht="23.25">
      <c r="A883">
        <v>882</v>
      </c>
      <c r="B883" s="2" t="s">
        <v>2111</v>
      </c>
      <c r="C883" s="2">
        <v>2017</v>
      </c>
      <c r="D883" s="2" t="s">
        <v>708</v>
      </c>
      <c r="E883" s="2" t="s">
        <v>17</v>
      </c>
      <c r="F883" s="2">
        <v>7.6</v>
      </c>
      <c r="G883" s="2">
        <v>92</v>
      </c>
      <c r="H883" s="2" t="s">
        <v>2112</v>
      </c>
      <c r="I883" s="2" t="s">
        <v>2113</v>
      </c>
      <c r="J883" s="2">
        <v>95181</v>
      </c>
      <c r="K883" s="3">
        <v>5904366</v>
      </c>
      <c r="L883">
        <f t="shared" si="26"/>
        <v>0</v>
      </c>
      <c r="N883">
        <f t="shared" si="27"/>
        <v>0</v>
      </c>
    </row>
    <row r="884" spans="1:14" ht="35.25">
      <c r="A884">
        <v>883</v>
      </c>
      <c r="B884" s="2" t="s">
        <v>2114</v>
      </c>
      <c r="C884" s="2">
        <v>2019</v>
      </c>
      <c r="D884" s="2" t="s">
        <v>178</v>
      </c>
      <c r="E884" s="2" t="s">
        <v>47</v>
      </c>
      <c r="F884" s="2">
        <v>7.6</v>
      </c>
      <c r="G884" s="2">
        <v>68</v>
      </c>
      <c r="H884" s="2" t="s">
        <v>928</v>
      </c>
      <c r="I884" s="2" t="s">
        <v>2115</v>
      </c>
      <c r="J884" s="2">
        <v>46739</v>
      </c>
      <c r="K884" s="4" t="s">
        <v>90</v>
      </c>
      <c r="L884">
        <f t="shared" si="26"/>
        <v>0</v>
      </c>
      <c r="N884">
        <f t="shared" si="27"/>
        <v>1</v>
      </c>
    </row>
    <row r="885" spans="1:14" ht="14.25">
      <c r="A885">
        <v>884</v>
      </c>
      <c r="B885" s="2" t="s">
        <v>2116</v>
      </c>
      <c r="C885" s="2">
        <v>2017</v>
      </c>
      <c r="D885" s="2" t="s">
        <v>253</v>
      </c>
      <c r="E885" s="2" t="s">
        <v>17</v>
      </c>
      <c r="F885" s="2">
        <v>7.6</v>
      </c>
      <c r="G885" s="2">
        <v>60</v>
      </c>
      <c r="H885" s="2" t="s">
        <v>1855</v>
      </c>
      <c r="I885" s="2" t="s">
        <v>2117</v>
      </c>
      <c r="J885" s="2">
        <v>99643</v>
      </c>
      <c r="K885" s="3">
        <v>24801212</v>
      </c>
      <c r="L885">
        <f t="shared" si="26"/>
        <v>0</v>
      </c>
      <c r="N885">
        <f t="shared" si="27"/>
        <v>0</v>
      </c>
    </row>
    <row r="886" spans="1:14" ht="23.25">
      <c r="A886">
        <v>885</v>
      </c>
      <c r="B886" s="2" t="s">
        <v>2118</v>
      </c>
      <c r="C886" s="2">
        <v>2019</v>
      </c>
      <c r="D886" s="2" t="s">
        <v>1191</v>
      </c>
      <c r="E886" s="2" t="s">
        <v>102</v>
      </c>
      <c r="F886" s="2">
        <v>7.6</v>
      </c>
      <c r="G886" s="2">
        <v>70</v>
      </c>
      <c r="H886" s="2" t="s">
        <v>2119</v>
      </c>
      <c r="I886" s="2" t="s">
        <v>2120</v>
      </c>
      <c r="J886" s="2">
        <v>66346</v>
      </c>
      <c r="K886" s="3">
        <v>13122642</v>
      </c>
      <c r="L886">
        <f t="shared" si="26"/>
        <v>0</v>
      </c>
      <c r="N886">
        <f t="shared" si="27"/>
        <v>0</v>
      </c>
    </row>
    <row r="887" spans="1:14" ht="25.5">
      <c r="A887">
        <v>886</v>
      </c>
      <c r="B887" s="2" t="s">
        <v>2121</v>
      </c>
      <c r="C887" s="2">
        <v>2015</v>
      </c>
      <c r="D887" s="2" t="s">
        <v>410</v>
      </c>
      <c r="E887" s="2" t="s">
        <v>22</v>
      </c>
      <c r="F887" s="2">
        <v>7.6</v>
      </c>
      <c r="G887" s="2">
        <v>77</v>
      </c>
      <c r="H887" s="2" t="s">
        <v>2122</v>
      </c>
      <c r="I887" s="2" t="s">
        <v>2123</v>
      </c>
      <c r="J887" s="2">
        <v>52903</v>
      </c>
      <c r="K887" s="4" t="s">
        <v>90</v>
      </c>
      <c r="L887">
        <f t="shared" si="26"/>
        <v>0</v>
      </c>
      <c r="N887">
        <f t="shared" si="27"/>
        <v>1</v>
      </c>
    </row>
    <row r="888" spans="1:14" ht="35.25">
      <c r="A888">
        <v>887</v>
      </c>
      <c r="B888" s="2" t="s">
        <v>2124</v>
      </c>
      <c r="C888" s="2">
        <v>2015</v>
      </c>
      <c r="D888" s="2" t="s">
        <v>1191</v>
      </c>
      <c r="E888" s="2" t="s">
        <v>17</v>
      </c>
      <c r="F888" s="2">
        <v>7.6</v>
      </c>
      <c r="G888" s="2">
        <v>83</v>
      </c>
      <c r="H888" s="2" t="s">
        <v>2125</v>
      </c>
      <c r="I888" s="2" t="s">
        <v>2126</v>
      </c>
      <c r="J888" s="2">
        <v>35785</v>
      </c>
      <c r="K888" s="3">
        <v>845464</v>
      </c>
      <c r="L888">
        <f t="shared" si="26"/>
        <v>0</v>
      </c>
      <c r="N888">
        <f t="shared" si="27"/>
        <v>0</v>
      </c>
    </row>
    <row r="889" spans="1:14" ht="35.25">
      <c r="A889">
        <v>888</v>
      </c>
      <c r="B889" s="2" t="s">
        <v>2127</v>
      </c>
      <c r="C889" s="2">
        <v>2017</v>
      </c>
      <c r="D889" s="2" t="s">
        <v>71</v>
      </c>
      <c r="E889" s="2" t="s">
        <v>27</v>
      </c>
      <c r="F889" s="2">
        <v>7.6</v>
      </c>
      <c r="G889" s="2">
        <v>67</v>
      </c>
      <c r="H889" s="2" t="s">
        <v>936</v>
      </c>
      <c r="I889" s="2" t="s">
        <v>937</v>
      </c>
      <c r="J889" s="2">
        <v>569974</v>
      </c>
      <c r="K889" s="3">
        <v>389813101</v>
      </c>
      <c r="L889">
        <f t="shared" si="26"/>
        <v>0</v>
      </c>
      <c r="N889">
        <f t="shared" si="27"/>
        <v>1</v>
      </c>
    </row>
    <row r="890" spans="1:14" ht="23.25">
      <c r="A890">
        <v>889</v>
      </c>
      <c r="B890" s="2" t="s">
        <v>2128</v>
      </c>
      <c r="C890" s="2">
        <v>2017</v>
      </c>
      <c r="D890" s="2" t="s">
        <v>257</v>
      </c>
      <c r="E890" s="2" t="s">
        <v>27</v>
      </c>
      <c r="F890" s="2">
        <v>7.6</v>
      </c>
      <c r="G890" s="2">
        <v>86</v>
      </c>
      <c r="H890" s="2" t="s">
        <v>1311</v>
      </c>
      <c r="I890" s="2" t="s">
        <v>2129</v>
      </c>
      <c r="J890" s="2">
        <v>439406</v>
      </c>
      <c r="K890" s="3">
        <v>107825862</v>
      </c>
      <c r="L890">
        <f t="shared" si="26"/>
        <v>0</v>
      </c>
      <c r="N890">
        <f t="shared" si="27"/>
        <v>1</v>
      </c>
    </row>
    <row r="891" spans="1:14" ht="23.25">
      <c r="A891">
        <v>890</v>
      </c>
      <c r="B891" s="2" t="s">
        <v>2130</v>
      </c>
      <c r="C891" s="2">
        <v>2017</v>
      </c>
      <c r="D891" s="2" t="s">
        <v>261</v>
      </c>
      <c r="E891" s="2" t="s">
        <v>27</v>
      </c>
      <c r="F891" s="2">
        <v>7.6</v>
      </c>
      <c r="G891" s="2">
        <v>72</v>
      </c>
      <c r="H891" s="2" t="s">
        <v>2131</v>
      </c>
      <c r="I891" s="2" t="s">
        <v>2132</v>
      </c>
      <c r="J891" s="2">
        <v>58371</v>
      </c>
      <c r="K891" s="3">
        <v>18340051</v>
      </c>
      <c r="L891">
        <f t="shared" si="26"/>
        <v>0</v>
      </c>
      <c r="N891">
        <f t="shared" si="27"/>
        <v>0</v>
      </c>
    </row>
    <row r="892" spans="1:14" ht="23.25">
      <c r="A892">
        <v>891</v>
      </c>
      <c r="B892" s="2" t="s">
        <v>2133</v>
      </c>
      <c r="C892" s="2">
        <v>2015</v>
      </c>
      <c r="D892" s="2" t="s">
        <v>16</v>
      </c>
      <c r="E892" s="2" t="s">
        <v>60</v>
      </c>
      <c r="F892" s="2">
        <v>7.6</v>
      </c>
      <c r="G892" s="2">
        <v>81</v>
      </c>
      <c r="H892" s="2" t="s">
        <v>48</v>
      </c>
      <c r="I892" s="2" t="s">
        <v>62</v>
      </c>
      <c r="J892" s="2">
        <v>287659</v>
      </c>
      <c r="K892" s="3">
        <v>72313754</v>
      </c>
      <c r="L892">
        <f t="shared" si="26"/>
        <v>0</v>
      </c>
      <c r="N892">
        <f t="shared" si="27"/>
        <v>1</v>
      </c>
    </row>
    <row r="893" spans="1:14" ht="23.25">
      <c r="A893">
        <v>892</v>
      </c>
      <c r="B893" s="2" t="s">
        <v>2134</v>
      </c>
      <c r="C893" s="2">
        <v>2018</v>
      </c>
      <c r="D893" s="2" t="s">
        <v>123</v>
      </c>
      <c r="E893" s="2" t="s">
        <v>110</v>
      </c>
      <c r="F893" s="2">
        <v>7.6</v>
      </c>
      <c r="G893" s="2">
        <v>80</v>
      </c>
      <c r="H893" s="2" t="s">
        <v>1001</v>
      </c>
      <c r="I893" s="2" t="s">
        <v>1027</v>
      </c>
      <c r="J893" s="2">
        <v>250057</v>
      </c>
      <c r="K893" s="3">
        <v>608581744</v>
      </c>
      <c r="L893">
        <f t="shared" si="26"/>
        <v>0</v>
      </c>
      <c r="N893">
        <f t="shared" si="27"/>
        <v>1</v>
      </c>
    </row>
    <row r="894" spans="1:14" ht="23.25">
      <c r="A894">
        <v>893</v>
      </c>
      <c r="B894" s="2" t="s">
        <v>2135</v>
      </c>
      <c r="C894" s="2">
        <v>2016</v>
      </c>
      <c r="D894" s="2" t="s">
        <v>396</v>
      </c>
      <c r="E894" s="2" t="s">
        <v>110</v>
      </c>
      <c r="F894" s="2">
        <v>7.6</v>
      </c>
      <c r="G894" s="2">
        <v>81</v>
      </c>
      <c r="H894" s="2" t="s">
        <v>1081</v>
      </c>
      <c r="I894" s="2" t="s">
        <v>1082</v>
      </c>
      <c r="J894" s="2">
        <v>272784</v>
      </c>
      <c r="K894" s="3">
        <v>248757044</v>
      </c>
      <c r="L894">
        <f t="shared" si="26"/>
        <v>0</v>
      </c>
      <c r="N894">
        <f t="shared" si="27"/>
        <v>1</v>
      </c>
    </row>
    <row r="895" spans="1:14" ht="23.25">
      <c r="A895">
        <v>894</v>
      </c>
      <c r="B895" s="2" t="s">
        <v>2136</v>
      </c>
      <c r="C895" s="2">
        <v>2015</v>
      </c>
      <c r="D895" s="2" t="s">
        <v>127</v>
      </c>
      <c r="E895" s="2" t="s">
        <v>27</v>
      </c>
      <c r="F895" s="2">
        <v>7.6</v>
      </c>
      <c r="G895" s="2">
        <v>82</v>
      </c>
      <c r="H895" s="2" t="s">
        <v>313</v>
      </c>
      <c r="I895" s="2" t="s">
        <v>2137</v>
      </c>
      <c r="J895" s="2">
        <v>371291</v>
      </c>
      <c r="K895" s="3">
        <v>46889293</v>
      </c>
      <c r="L895">
        <f t="shared" si="26"/>
        <v>0</v>
      </c>
      <c r="N895">
        <f t="shared" si="27"/>
        <v>0</v>
      </c>
    </row>
    <row r="896" spans="1:14" ht="23.25">
      <c r="A896">
        <v>895</v>
      </c>
      <c r="B896" s="2" t="s">
        <v>2138</v>
      </c>
      <c r="C896" s="2">
        <v>2015</v>
      </c>
      <c r="D896" s="2" t="s">
        <v>83</v>
      </c>
      <c r="E896" s="2" t="s">
        <v>60</v>
      </c>
      <c r="F896" s="2">
        <v>7.6</v>
      </c>
      <c r="G896" s="2">
        <v>82</v>
      </c>
      <c r="H896" s="2" t="s">
        <v>2139</v>
      </c>
      <c r="I896" s="2" t="s">
        <v>2115</v>
      </c>
      <c r="J896" s="2">
        <v>247666</v>
      </c>
      <c r="K896" s="3">
        <v>109767581</v>
      </c>
      <c r="L896">
        <f t="shared" si="26"/>
        <v>0</v>
      </c>
      <c r="N896">
        <f t="shared" si="27"/>
        <v>1</v>
      </c>
    </row>
    <row r="897" spans="1:14" ht="35.25">
      <c r="A897">
        <v>896</v>
      </c>
      <c r="B897" s="2" t="s">
        <v>2140</v>
      </c>
      <c r="C897" s="2">
        <v>2014</v>
      </c>
      <c r="D897" s="2" t="s">
        <v>460</v>
      </c>
      <c r="E897" s="2" t="s">
        <v>22</v>
      </c>
      <c r="F897" s="2">
        <v>7.6</v>
      </c>
      <c r="G897" s="2">
        <v>92</v>
      </c>
      <c r="H897" s="2" t="s">
        <v>1008</v>
      </c>
      <c r="I897" s="2" t="s">
        <v>2141</v>
      </c>
      <c r="J897" s="2">
        <v>49397</v>
      </c>
      <c r="K897" s="3">
        <v>1092800</v>
      </c>
      <c r="L897">
        <f t="shared" si="26"/>
        <v>0</v>
      </c>
      <c r="N897">
        <f t="shared" si="27"/>
        <v>0</v>
      </c>
    </row>
    <row r="898" spans="1:14" ht="23.25">
      <c r="A898">
        <v>897</v>
      </c>
      <c r="B898" s="2" t="s">
        <v>2142</v>
      </c>
      <c r="C898" s="2">
        <v>2016</v>
      </c>
      <c r="D898" s="2" t="s">
        <v>198</v>
      </c>
      <c r="E898" s="2" t="s">
        <v>27</v>
      </c>
      <c r="F898" s="2">
        <v>7.6</v>
      </c>
      <c r="G898" s="2">
        <v>88</v>
      </c>
      <c r="H898" s="2" t="s">
        <v>2143</v>
      </c>
      <c r="I898" s="2" t="s">
        <v>1287</v>
      </c>
      <c r="J898" s="2">
        <v>204175</v>
      </c>
      <c r="K898" s="3">
        <v>26862450</v>
      </c>
      <c r="L898">
        <f t="shared" si="26"/>
        <v>0</v>
      </c>
      <c r="N898">
        <f t="shared" si="27"/>
        <v>0</v>
      </c>
    </row>
    <row r="899" spans="1:14" ht="23.25">
      <c r="A899">
        <v>898</v>
      </c>
      <c r="B899" s="2" t="s">
        <v>2144</v>
      </c>
      <c r="C899" s="2">
        <v>2013</v>
      </c>
      <c r="D899" s="2" t="s">
        <v>246</v>
      </c>
      <c r="E899" s="2" t="s">
        <v>47</v>
      </c>
      <c r="F899" s="2">
        <v>7.6</v>
      </c>
      <c r="G899" s="2">
        <v>77</v>
      </c>
      <c r="H899" s="2" t="s">
        <v>2145</v>
      </c>
      <c r="I899" s="2" t="s">
        <v>2146</v>
      </c>
      <c r="J899" s="2">
        <v>94212</v>
      </c>
      <c r="K899" s="3">
        <v>37707719</v>
      </c>
      <c r="L899">
        <f t="shared" ref="L899:L962" si="28">IF(AND(F899&gt;=8.2, G899&gt;8.2), 1, 0)</f>
        <v>0</v>
      </c>
      <c r="N899">
        <f t="shared" ref="N899:N962" si="29">IF(K899&gt;=50000000, 1, 0)</f>
        <v>0</v>
      </c>
    </row>
    <row r="900" spans="1:14" ht="35.25">
      <c r="A900">
        <v>899</v>
      </c>
      <c r="B900" s="2" t="s">
        <v>2147</v>
      </c>
      <c r="C900" s="2">
        <v>2014</v>
      </c>
      <c r="D900" s="2" t="s">
        <v>105</v>
      </c>
      <c r="E900" s="2" t="s">
        <v>27</v>
      </c>
      <c r="F900" s="2">
        <v>7.6</v>
      </c>
      <c r="G900" s="2">
        <v>79</v>
      </c>
      <c r="H900" s="2" t="s">
        <v>2148</v>
      </c>
      <c r="I900" s="2" t="s">
        <v>2149</v>
      </c>
      <c r="J900" s="2">
        <v>411599</v>
      </c>
      <c r="K900" s="3">
        <v>208545589</v>
      </c>
      <c r="L900">
        <f t="shared" si="28"/>
        <v>0</v>
      </c>
      <c r="N900">
        <f t="shared" si="29"/>
        <v>1</v>
      </c>
    </row>
    <row r="901" spans="1:14" ht="25.5">
      <c r="A901">
        <v>900</v>
      </c>
      <c r="B901" s="2" t="s">
        <v>2150</v>
      </c>
      <c r="C901" s="2">
        <v>2012</v>
      </c>
      <c r="D901" s="2" t="s">
        <v>148</v>
      </c>
      <c r="E901" s="2" t="s">
        <v>258</v>
      </c>
      <c r="F901" s="2">
        <v>7.6</v>
      </c>
      <c r="G901" s="4" t="s">
        <v>90</v>
      </c>
      <c r="H901" s="2" t="s">
        <v>593</v>
      </c>
      <c r="I901" s="2" t="s">
        <v>2151</v>
      </c>
      <c r="J901" s="2">
        <v>57549</v>
      </c>
      <c r="K901" s="4" t="s">
        <v>90</v>
      </c>
      <c r="L901">
        <f t="shared" si="28"/>
        <v>0</v>
      </c>
      <c r="N901">
        <f t="shared" si="29"/>
        <v>1</v>
      </c>
    </row>
    <row r="902" spans="1:14" ht="23.25">
      <c r="A902">
        <v>901</v>
      </c>
      <c r="B902" s="2" t="s">
        <v>2152</v>
      </c>
      <c r="C902" s="2">
        <v>2011</v>
      </c>
      <c r="D902" s="2" t="s">
        <v>253</v>
      </c>
      <c r="E902" s="2" t="s">
        <v>27</v>
      </c>
      <c r="F902" s="2">
        <v>7.6</v>
      </c>
      <c r="G902" s="2">
        <v>73</v>
      </c>
      <c r="H902" s="2" t="s">
        <v>930</v>
      </c>
      <c r="I902" s="2" t="s">
        <v>931</v>
      </c>
      <c r="J902" s="2">
        <v>190531</v>
      </c>
      <c r="K902" s="3">
        <v>4105123</v>
      </c>
      <c r="L902">
        <f t="shared" si="28"/>
        <v>0</v>
      </c>
      <c r="N902">
        <f t="shared" si="29"/>
        <v>0</v>
      </c>
    </row>
    <row r="903" spans="1:14" ht="23.25">
      <c r="A903">
        <v>902</v>
      </c>
      <c r="B903" s="2" t="s">
        <v>2153</v>
      </c>
      <c r="C903" s="2">
        <v>2012</v>
      </c>
      <c r="D903" s="2" t="s">
        <v>193</v>
      </c>
      <c r="E903" s="2" t="s">
        <v>27</v>
      </c>
      <c r="F903" s="2">
        <v>7.6</v>
      </c>
      <c r="G903" s="2">
        <v>68</v>
      </c>
      <c r="H903" s="2" t="s">
        <v>2154</v>
      </c>
      <c r="I903" s="2" t="s">
        <v>1038</v>
      </c>
      <c r="J903" s="2">
        <v>228132</v>
      </c>
      <c r="K903" s="3">
        <v>41003371</v>
      </c>
      <c r="L903">
        <f t="shared" si="28"/>
        <v>0</v>
      </c>
      <c r="N903">
        <f t="shared" si="29"/>
        <v>0</v>
      </c>
    </row>
    <row r="904" spans="1:14" ht="35.25">
      <c r="A904">
        <v>903</v>
      </c>
      <c r="B904" s="2" t="s">
        <v>2155</v>
      </c>
      <c r="C904" s="2">
        <v>2010</v>
      </c>
      <c r="D904" s="2" t="s">
        <v>792</v>
      </c>
      <c r="E904" s="2" t="s">
        <v>110</v>
      </c>
      <c r="F904" s="2">
        <v>7.6</v>
      </c>
      <c r="G904" s="2">
        <v>80</v>
      </c>
      <c r="H904" s="2" t="s">
        <v>1800</v>
      </c>
      <c r="I904" s="2" t="s">
        <v>2156</v>
      </c>
      <c r="J904" s="2">
        <v>80939</v>
      </c>
      <c r="K904" s="3">
        <v>19202743</v>
      </c>
      <c r="L904">
        <f t="shared" si="28"/>
        <v>0</v>
      </c>
      <c r="N904">
        <f t="shared" si="29"/>
        <v>0</v>
      </c>
    </row>
    <row r="905" spans="1:14" ht="23.25">
      <c r="A905">
        <v>904</v>
      </c>
      <c r="B905" s="2" t="s">
        <v>2157</v>
      </c>
      <c r="C905" s="2">
        <v>2018</v>
      </c>
      <c r="D905" s="2" t="s">
        <v>71</v>
      </c>
      <c r="E905" s="2" t="s">
        <v>60</v>
      </c>
      <c r="F905" s="2">
        <v>7.6</v>
      </c>
      <c r="G905" s="2">
        <v>88</v>
      </c>
      <c r="H905" s="2" t="s">
        <v>1852</v>
      </c>
      <c r="I905" s="2" t="s">
        <v>2158</v>
      </c>
      <c r="J905" s="2">
        <v>334312</v>
      </c>
      <c r="K905" s="3">
        <v>215288866</v>
      </c>
      <c r="L905">
        <f t="shared" si="28"/>
        <v>0</v>
      </c>
      <c r="N905">
        <f t="shared" si="29"/>
        <v>1</v>
      </c>
    </row>
    <row r="906" spans="1:14" ht="14.25">
      <c r="A906">
        <v>905</v>
      </c>
      <c r="B906" s="2" t="s">
        <v>2159</v>
      </c>
      <c r="C906" s="2">
        <v>2010</v>
      </c>
      <c r="D906" s="2" t="s">
        <v>170</v>
      </c>
      <c r="E906" s="2" t="s">
        <v>60</v>
      </c>
      <c r="F906" s="2">
        <v>7.6</v>
      </c>
      <c r="G906" s="2">
        <v>80</v>
      </c>
      <c r="H906" s="2" t="s">
        <v>686</v>
      </c>
      <c r="I906" s="2" t="s">
        <v>687</v>
      </c>
      <c r="J906" s="2">
        <v>311822</v>
      </c>
      <c r="K906" s="3">
        <v>171243005</v>
      </c>
      <c r="L906">
        <f t="shared" si="28"/>
        <v>0</v>
      </c>
      <c r="N906">
        <f t="shared" si="29"/>
        <v>1</v>
      </c>
    </row>
    <row r="907" spans="1:14" ht="23.25">
      <c r="A907">
        <v>906</v>
      </c>
      <c r="B907" s="2" t="s">
        <v>2160</v>
      </c>
      <c r="C907" s="2">
        <v>2010</v>
      </c>
      <c r="D907" s="2" t="s">
        <v>123</v>
      </c>
      <c r="E907" s="2" t="s">
        <v>60</v>
      </c>
      <c r="F907" s="2">
        <v>7.6</v>
      </c>
      <c r="G907" s="2">
        <v>65</v>
      </c>
      <c r="H907" s="2" t="s">
        <v>1880</v>
      </c>
      <c r="I907" s="2" t="s">
        <v>2161</v>
      </c>
      <c r="J907" s="2">
        <v>38491</v>
      </c>
      <c r="K907" s="3">
        <v>1008098</v>
      </c>
      <c r="L907">
        <f t="shared" si="28"/>
        <v>0</v>
      </c>
      <c r="N907">
        <f t="shared" si="29"/>
        <v>0</v>
      </c>
    </row>
    <row r="908" spans="1:14" ht="23.25">
      <c r="A908">
        <v>907</v>
      </c>
      <c r="B908" s="2" t="s">
        <v>2162</v>
      </c>
      <c r="C908" s="2">
        <v>2010</v>
      </c>
      <c r="D908" s="2" t="s">
        <v>280</v>
      </c>
      <c r="E908" s="2" t="s">
        <v>110</v>
      </c>
      <c r="F908" s="2">
        <v>7.6</v>
      </c>
      <c r="G908" s="2">
        <v>72</v>
      </c>
      <c r="H908" s="2" t="s">
        <v>2163</v>
      </c>
      <c r="I908" s="2" t="s">
        <v>2164</v>
      </c>
      <c r="J908" s="2">
        <v>500851</v>
      </c>
      <c r="K908" s="3">
        <v>251513985</v>
      </c>
      <c r="L908">
        <f t="shared" si="28"/>
        <v>0</v>
      </c>
      <c r="N908">
        <f t="shared" si="29"/>
        <v>1</v>
      </c>
    </row>
    <row r="909" spans="1:14" ht="35.25">
      <c r="A909">
        <v>908</v>
      </c>
      <c r="B909" s="2" t="s">
        <v>2165</v>
      </c>
      <c r="C909" s="2">
        <v>2011</v>
      </c>
      <c r="D909" s="2" t="s">
        <v>614</v>
      </c>
      <c r="E909" s="2" t="s">
        <v>93</v>
      </c>
      <c r="F909" s="2">
        <v>7.6</v>
      </c>
      <c r="G909" s="2">
        <v>72</v>
      </c>
      <c r="H909" s="2" t="s">
        <v>2166</v>
      </c>
      <c r="I909" s="2" t="s">
        <v>2167</v>
      </c>
      <c r="J909" s="2">
        <v>315426</v>
      </c>
      <c r="K909" s="3">
        <v>35014192</v>
      </c>
      <c r="L909">
        <f t="shared" si="28"/>
        <v>0</v>
      </c>
      <c r="N909">
        <f t="shared" si="29"/>
        <v>0</v>
      </c>
    </row>
    <row r="910" spans="1:14" ht="35.25">
      <c r="A910">
        <v>909</v>
      </c>
      <c r="B910" s="2" t="s">
        <v>2168</v>
      </c>
      <c r="C910" s="2">
        <v>2010</v>
      </c>
      <c r="D910" s="2" t="s">
        <v>223</v>
      </c>
      <c r="E910" s="2" t="s">
        <v>27</v>
      </c>
      <c r="F910" s="2">
        <v>7.6</v>
      </c>
      <c r="G910" s="2">
        <v>66</v>
      </c>
      <c r="H910" s="2" t="s">
        <v>1804</v>
      </c>
      <c r="I910" s="2" t="s">
        <v>2169</v>
      </c>
      <c r="J910" s="2">
        <v>524081</v>
      </c>
      <c r="K910" s="3">
        <v>48071303</v>
      </c>
      <c r="L910">
        <f t="shared" si="28"/>
        <v>0</v>
      </c>
      <c r="N910">
        <f t="shared" si="29"/>
        <v>0</v>
      </c>
    </row>
    <row r="911" spans="1:14" ht="25.5">
      <c r="A911">
        <v>910</v>
      </c>
      <c r="B911" s="2" t="s">
        <v>2170</v>
      </c>
      <c r="C911" s="2">
        <v>2009</v>
      </c>
      <c r="D911" s="2" t="s">
        <v>257</v>
      </c>
      <c r="E911" s="2" t="s">
        <v>27</v>
      </c>
      <c r="F911" s="2">
        <v>7.6</v>
      </c>
      <c r="G911" s="4" t="s">
        <v>90</v>
      </c>
      <c r="H911" s="2" t="s">
        <v>2171</v>
      </c>
      <c r="I911" s="2" t="s">
        <v>2172</v>
      </c>
      <c r="J911" s="2">
        <v>63882</v>
      </c>
      <c r="K911" s="4" t="s">
        <v>90</v>
      </c>
      <c r="L911">
        <f t="shared" si="28"/>
        <v>0</v>
      </c>
      <c r="N911">
        <f t="shared" si="29"/>
        <v>1</v>
      </c>
    </row>
    <row r="912" spans="1:14" ht="23.25">
      <c r="A912">
        <v>911</v>
      </c>
      <c r="B912" s="2" t="s">
        <v>2173</v>
      </c>
      <c r="C912" s="2">
        <v>2011</v>
      </c>
      <c r="D912" s="2" t="s">
        <v>83</v>
      </c>
      <c r="E912" s="2" t="s">
        <v>47</v>
      </c>
      <c r="F912" s="2">
        <v>7.6</v>
      </c>
      <c r="G912" s="2">
        <v>87</v>
      </c>
      <c r="H912" s="2" t="s">
        <v>2174</v>
      </c>
      <c r="I912" s="2" t="s">
        <v>56</v>
      </c>
      <c r="J912" s="2">
        <v>369529</v>
      </c>
      <c r="K912" s="3">
        <v>75605492</v>
      </c>
      <c r="L912">
        <f t="shared" si="28"/>
        <v>0</v>
      </c>
      <c r="N912">
        <f t="shared" si="29"/>
        <v>1</v>
      </c>
    </row>
    <row r="913" spans="1:14" ht="23.25">
      <c r="A913">
        <v>912</v>
      </c>
      <c r="B913" s="2" t="s">
        <v>2175</v>
      </c>
      <c r="C913" s="2">
        <v>2011</v>
      </c>
      <c r="D913" s="2" t="s">
        <v>660</v>
      </c>
      <c r="E913" s="2" t="s">
        <v>60</v>
      </c>
      <c r="F913" s="2">
        <v>7.6</v>
      </c>
      <c r="G913" s="2">
        <v>70</v>
      </c>
      <c r="H913" s="2" t="s">
        <v>1322</v>
      </c>
      <c r="I913" s="2" t="s">
        <v>2176</v>
      </c>
      <c r="J913" s="2">
        <v>138959</v>
      </c>
      <c r="K913" s="3">
        <v>3185812</v>
      </c>
      <c r="L913">
        <f t="shared" si="28"/>
        <v>0</v>
      </c>
      <c r="N913">
        <f t="shared" si="29"/>
        <v>0</v>
      </c>
    </row>
    <row r="914" spans="1:14" ht="23.25">
      <c r="A914">
        <v>913</v>
      </c>
      <c r="B914" s="2" t="s">
        <v>2177</v>
      </c>
      <c r="C914" s="2">
        <v>2009</v>
      </c>
      <c r="D914" s="2" t="s">
        <v>174</v>
      </c>
      <c r="E914" s="2" t="s">
        <v>102</v>
      </c>
      <c r="F914" s="2">
        <v>7.6</v>
      </c>
      <c r="G914" s="2">
        <v>73</v>
      </c>
      <c r="H914" s="2" t="s">
        <v>2178</v>
      </c>
      <c r="I914" s="2" t="s">
        <v>1845</v>
      </c>
      <c r="J914" s="2">
        <v>520041</v>
      </c>
      <c r="K914" s="3">
        <v>75590286</v>
      </c>
      <c r="L914">
        <f t="shared" si="28"/>
        <v>0</v>
      </c>
      <c r="N914">
        <f t="shared" si="29"/>
        <v>1</v>
      </c>
    </row>
    <row r="915" spans="1:14" ht="25.5">
      <c r="A915">
        <v>914</v>
      </c>
      <c r="B915" s="2" t="s">
        <v>2179</v>
      </c>
      <c r="C915" s="2">
        <v>2008</v>
      </c>
      <c r="D915" s="2" t="s">
        <v>396</v>
      </c>
      <c r="E915" s="2" t="s">
        <v>60</v>
      </c>
      <c r="F915" s="2">
        <v>7.6</v>
      </c>
      <c r="G915" s="4" t="s">
        <v>90</v>
      </c>
      <c r="H915" s="2" t="s">
        <v>2180</v>
      </c>
      <c r="I915" s="2" t="s">
        <v>2181</v>
      </c>
      <c r="J915" s="2">
        <v>102742</v>
      </c>
      <c r="K915" s="4" t="s">
        <v>90</v>
      </c>
      <c r="L915">
        <f t="shared" si="28"/>
        <v>0</v>
      </c>
      <c r="N915">
        <f t="shared" si="29"/>
        <v>1</v>
      </c>
    </row>
    <row r="916" spans="1:14" ht="23.25">
      <c r="A916">
        <v>915</v>
      </c>
      <c r="B916" s="2" t="s">
        <v>2182</v>
      </c>
      <c r="C916" s="2">
        <v>2009</v>
      </c>
      <c r="D916" s="2" t="s">
        <v>385</v>
      </c>
      <c r="E916" s="2" t="s">
        <v>27</v>
      </c>
      <c r="F916" s="2">
        <v>7.6</v>
      </c>
      <c r="G916" s="2">
        <v>57</v>
      </c>
      <c r="H916" s="2" t="s">
        <v>330</v>
      </c>
      <c r="I916" s="2" t="s">
        <v>976</v>
      </c>
      <c r="J916" s="2">
        <v>583158</v>
      </c>
      <c r="K916" s="3">
        <v>209028679</v>
      </c>
      <c r="L916">
        <f t="shared" si="28"/>
        <v>0</v>
      </c>
      <c r="N916">
        <f t="shared" si="29"/>
        <v>1</v>
      </c>
    </row>
    <row r="917" spans="1:14" ht="23.25">
      <c r="A917">
        <v>916</v>
      </c>
      <c r="B917" s="2" t="s">
        <v>2183</v>
      </c>
      <c r="C917" s="2">
        <v>2009</v>
      </c>
      <c r="D917" s="2" t="s">
        <v>368</v>
      </c>
      <c r="E917" s="2" t="s">
        <v>47</v>
      </c>
      <c r="F917" s="2">
        <v>7.6</v>
      </c>
      <c r="G917" s="2">
        <v>53</v>
      </c>
      <c r="H917" s="2" t="s">
        <v>2184</v>
      </c>
      <c r="I917" s="2" t="s">
        <v>2185</v>
      </c>
      <c r="J917" s="2">
        <v>293266</v>
      </c>
      <c r="K917" s="3">
        <v>255959475</v>
      </c>
      <c r="L917">
        <f t="shared" si="28"/>
        <v>0</v>
      </c>
      <c r="N917">
        <f t="shared" si="29"/>
        <v>1</v>
      </c>
    </row>
    <row r="918" spans="1:14" ht="23.25">
      <c r="A918">
        <v>917</v>
      </c>
      <c r="B918" s="2" t="s">
        <v>2186</v>
      </c>
      <c r="C918" s="2">
        <v>2007</v>
      </c>
      <c r="D918" s="2" t="s">
        <v>295</v>
      </c>
      <c r="E918" s="2" t="s">
        <v>17</v>
      </c>
      <c r="F918" s="2">
        <v>7.6</v>
      </c>
      <c r="G918" s="2">
        <v>79</v>
      </c>
      <c r="H918" s="2" t="s">
        <v>646</v>
      </c>
      <c r="I918" s="2" t="s">
        <v>2187</v>
      </c>
      <c r="J918" s="2">
        <v>41544</v>
      </c>
      <c r="K918" s="3">
        <v>9422422</v>
      </c>
      <c r="L918">
        <f t="shared" si="28"/>
        <v>0</v>
      </c>
      <c r="N918">
        <f t="shared" si="29"/>
        <v>0</v>
      </c>
    </row>
    <row r="919" spans="1:14" ht="23.25">
      <c r="A919">
        <v>918</v>
      </c>
      <c r="B919" s="2" t="s">
        <v>2188</v>
      </c>
      <c r="C919" s="2">
        <v>2008</v>
      </c>
      <c r="D919" s="2" t="s">
        <v>308</v>
      </c>
      <c r="E919" s="2" t="s">
        <v>17</v>
      </c>
      <c r="F919" s="2">
        <v>7.6</v>
      </c>
      <c r="G919" s="2">
        <v>36</v>
      </c>
      <c r="H919" s="2" t="s">
        <v>983</v>
      </c>
      <c r="I919" s="2" t="s">
        <v>984</v>
      </c>
      <c r="J919" s="2">
        <v>286770</v>
      </c>
      <c r="K919" s="3">
        <v>69951824</v>
      </c>
      <c r="L919">
        <f t="shared" si="28"/>
        <v>0</v>
      </c>
      <c r="N919">
        <f t="shared" si="29"/>
        <v>1</v>
      </c>
    </row>
    <row r="920" spans="1:14" ht="23.25">
      <c r="A920">
        <v>919</v>
      </c>
      <c r="B920" s="2" t="s">
        <v>2189</v>
      </c>
      <c r="C920" s="2">
        <v>2007</v>
      </c>
      <c r="D920" s="2" t="s">
        <v>614</v>
      </c>
      <c r="E920" s="2" t="s">
        <v>27</v>
      </c>
      <c r="F920" s="2">
        <v>7.6</v>
      </c>
      <c r="G920" s="2">
        <v>82</v>
      </c>
      <c r="H920" s="2" t="s">
        <v>2190</v>
      </c>
      <c r="I920" s="2" t="s">
        <v>1340</v>
      </c>
      <c r="J920" s="2">
        <v>227760</v>
      </c>
      <c r="K920" s="3">
        <v>17114882</v>
      </c>
      <c r="L920">
        <f t="shared" si="28"/>
        <v>0</v>
      </c>
      <c r="N920">
        <f t="shared" si="29"/>
        <v>0</v>
      </c>
    </row>
    <row r="921" spans="1:14" ht="23.25">
      <c r="A921">
        <v>920</v>
      </c>
      <c r="B921" s="2" t="s">
        <v>2191</v>
      </c>
      <c r="C921" s="2">
        <v>2007</v>
      </c>
      <c r="D921" s="2" t="s">
        <v>120</v>
      </c>
      <c r="E921" s="2" t="s">
        <v>102</v>
      </c>
      <c r="F921" s="2">
        <v>7.6</v>
      </c>
      <c r="G921" s="2">
        <v>66</v>
      </c>
      <c r="H921" s="2" t="s">
        <v>1804</v>
      </c>
      <c r="I921" s="2" t="s">
        <v>2192</v>
      </c>
      <c r="J921" s="2">
        <v>255036</v>
      </c>
      <c r="K921" s="3">
        <v>38634938</v>
      </c>
      <c r="L921">
        <f t="shared" si="28"/>
        <v>0</v>
      </c>
      <c r="N921">
        <f t="shared" si="29"/>
        <v>0</v>
      </c>
    </row>
    <row r="922" spans="1:14" ht="23.25">
      <c r="A922">
        <v>921</v>
      </c>
      <c r="B922" s="2" t="s">
        <v>2193</v>
      </c>
      <c r="C922" s="2">
        <v>2009</v>
      </c>
      <c r="D922" s="2" t="s">
        <v>2101</v>
      </c>
      <c r="E922" s="2" t="s">
        <v>110</v>
      </c>
      <c r="F922" s="2">
        <v>7.6</v>
      </c>
      <c r="G922" s="2">
        <v>81</v>
      </c>
      <c r="H922" s="2" t="s">
        <v>650</v>
      </c>
      <c r="I922" s="2" t="s">
        <v>2194</v>
      </c>
      <c r="J922" s="2">
        <v>31779</v>
      </c>
      <c r="K922" s="3">
        <v>686383</v>
      </c>
      <c r="L922">
        <f t="shared" si="28"/>
        <v>0</v>
      </c>
      <c r="N922">
        <f t="shared" si="29"/>
        <v>0</v>
      </c>
    </row>
    <row r="923" spans="1:14" ht="23.25">
      <c r="A923">
        <v>922</v>
      </c>
      <c r="B923" s="2" t="s">
        <v>2195</v>
      </c>
      <c r="C923" s="2">
        <v>2006</v>
      </c>
      <c r="D923" s="2" t="s">
        <v>368</v>
      </c>
      <c r="E923" s="2" t="s">
        <v>22</v>
      </c>
      <c r="F923" s="2">
        <v>7.6</v>
      </c>
      <c r="G923" s="2">
        <v>76</v>
      </c>
      <c r="H923" s="2" t="s">
        <v>1091</v>
      </c>
      <c r="I923" s="2" t="s">
        <v>1575</v>
      </c>
      <c r="J923" s="2">
        <v>339757</v>
      </c>
      <c r="K923" s="3">
        <v>88513495</v>
      </c>
      <c r="L923">
        <f t="shared" si="28"/>
        <v>0</v>
      </c>
      <c r="N923">
        <f t="shared" si="29"/>
        <v>1</v>
      </c>
    </row>
    <row r="924" spans="1:14" ht="23.25">
      <c r="A924">
        <v>923</v>
      </c>
      <c r="B924" s="2" t="s">
        <v>2196</v>
      </c>
      <c r="C924" s="2">
        <v>2007</v>
      </c>
      <c r="D924" s="2" t="s">
        <v>366</v>
      </c>
      <c r="E924" s="2" t="s">
        <v>22</v>
      </c>
      <c r="F924" s="2">
        <v>7.6</v>
      </c>
      <c r="G924" s="2">
        <v>72</v>
      </c>
      <c r="H924" s="2" t="s">
        <v>628</v>
      </c>
      <c r="I924" s="2" t="s">
        <v>121</v>
      </c>
      <c r="J924" s="2">
        <v>250590</v>
      </c>
      <c r="K924" s="3">
        <v>20300218</v>
      </c>
      <c r="L924">
        <f t="shared" si="28"/>
        <v>0</v>
      </c>
      <c r="N924">
        <f t="shared" si="29"/>
        <v>0</v>
      </c>
    </row>
    <row r="925" spans="1:14" ht="23.25">
      <c r="A925">
        <v>924</v>
      </c>
      <c r="B925" s="2" t="s">
        <v>2197</v>
      </c>
      <c r="C925" s="2">
        <v>2007</v>
      </c>
      <c r="D925" s="2" t="s">
        <v>460</v>
      </c>
      <c r="E925" s="2" t="s">
        <v>47</v>
      </c>
      <c r="F925" s="2">
        <v>7.6</v>
      </c>
      <c r="G925" s="2">
        <v>66</v>
      </c>
      <c r="H925" s="2" t="s">
        <v>2198</v>
      </c>
      <c r="I925" s="2" t="s">
        <v>2199</v>
      </c>
      <c r="J925" s="2">
        <v>82781</v>
      </c>
      <c r="K925" s="3">
        <v>10301706</v>
      </c>
      <c r="L925">
        <f t="shared" si="28"/>
        <v>0</v>
      </c>
      <c r="N925">
        <f t="shared" si="29"/>
        <v>0</v>
      </c>
    </row>
    <row r="926" spans="1:14" ht="14.25">
      <c r="A926">
        <v>925</v>
      </c>
      <c r="B926" s="2" t="s">
        <v>2200</v>
      </c>
      <c r="C926" s="2">
        <v>2006</v>
      </c>
      <c r="D926" s="2" t="s">
        <v>295</v>
      </c>
      <c r="E926" s="2" t="s">
        <v>27</v>
      </c>
      <c r="F926" s="2">
        <v>7.6</v>
      </c>
      <c r="G926" s="2">
        <v>70</v>
      </c>
      <c r="H926" s="2" t="s">
        <v>2201</v>
      </c>
      <c r="I926" s="2" t="s">
        <v>1320</v>
      </c>
      <c r="J926" s="2">
        <v>72863</v>
      </c>
      <c r="K926" s="3">
        <v>24633730</v>
      </c>
      <c r="L926">
        <f t="shared" si="28"/>
        <v>0</v>
      </c>
      <c r="N926">
        <f t="shared" si="29"/>
        <v>0</v>
      </c>
    </row>
    <row r="927" spans="1:14" ht="23.25">
      <c r="A927">
        <v>926</v>
      </c>
      <c r="B927" s="2" t="s">
        <v>2202</v>
      </c>
      <c r="C927" s="2">
        <v>2006</v>
      </c>
      <c r="D927" s="2" t="s">
        <v>170</v>
      </c>
      <c r="E927" s="2" t="s">
        <v>60</v>
      </c>
      <c r="F927" s="2">
        <v>7.6</v>
      </c>
      <c r="G927" s="2">
        <v>68</v>
      </c>
      <c r="H927" s="2" t="s">
        <v>2203</v>
      </c>
      <c r="I927" s="2" t="s">
        <v>165</v>
      </c>
      <c r="J927" s="2">
        <v>354728</v>
      </c>
      <c r="K927" s="3">
        <v>39868642</v>
      </c>
      <c r="L927">
        <f t="shared" si="28"/>
        <v>0</v>
      </c>
      <c r="N927">
        <f t="shared" si="29"/>
        <v>0</v>
      </c>
    </row>
    <row r="928" spans="1:14" ht="23.25">
      <c r="A928">
        <v>927</v>
      </c>
      <c r="B928" s="2" t="s">
        <v>2204</v>
      </c>
      <c r="C928" s="2">
        <v>2004</v>
      </c>
      <c r="D928" s="2" t="s">
        <v>1080</v>
      </c>
      <c r="E928" s="2" t="s">
        <v>22</v>
      </c>
      <c r="F928" s="2">
        <v>7.6</v>
      </c>
      <c r="G928" s="2">
        <v>52</v>
      </c>
      <c r="H928" s="2" t="s">
        <v>1874</v>
      </c>
      <c r="I928" s="2" t="s">
        <v>1922</v>
      </c>
      <c r="J928" s="2">
        <v>49728</v>
      </c>
      <c r="K928" s="3">
        <v>6013</v>
      </c>
      <c r="L928">
        <f t="shared" si="28"/>
        <v>0</v>
      </c>
      <c r="N928">
        <f t="shared" si="29"/>
        <v>0</v>
      </c>
    </row>
    <row r="929" spans="1:14" ht="35.25">
      <c r="A929">
        <v>928</v>
      </c>
      <c r="B929" s="2" t="s">
        <v>2205</v>
      </c>
      <c r="C929" s="2">
        <v>2009</v>
      </c>
      <c r="D929" s="2" t="s">
        <v>97</v>
      </c>
      <c r="E929" s="2" t="s">
        <v>27</v>
      </c>
      <c r="F929" s="2">
        <v>7.6</v>
      </c>
      <c r="G929" s="2">
        <v>78</v>
      </c>
      <c r="H929" s="2" t="s">
        <v>667</v>
      </c>
      <c r="I929" s="2" t="s">
        <v>668</v>
      </c>
      <c r="J929" s="2">
        <v>474827</v>
      </c>
      <c r="K929" s="3">
        <v>301959197</v>
      </c>
      <c r="L929">
        <f t="shared" si="28"/>
        <v>0</v>
      </c>
      <c r="N929">
        <f t="shared" si="29"/>
        <v>1</v>
      </c>
    </row>
    <row r="930" spans="1:14" ht="23.25">
      <c r="A930">
        <v>929</v>
      </c>
      <c r="B930" s="2">
        <v>300</v>
      </c>
      <c r="C930" s="2">
        <v>2006</v>
      </c>
      <c r="D930" s="2" t="s">
        <v>223</v>
      </c>
      <c r="E930" s="2" t="s">
        <v>27</v>
      </c>
      <c r="F930" s="2">
        <v>7.6</v>
      </c>
      <c r="G930" s="2">
        <v>52</v>
      </c>
      <c r="H930" s="2" t="s">
        <v>2206</v>
      </c>
      <c r="I930" s="2" t="s">
        <v>2207</v>
      </c>
      <c r="J930" s="2">
        <v>732876</v>
      </c>
      <c r="K930" s="3">
        <v>210614939</v>
      </c>
      <c r="L930">
        <f t="shared" si="28"/>
        <v>0</v>
      </c>
      <c r="N930">
        <f t="shared" si="29"/>
        <v>1</v>
      </c>
    </row>
    <row r="931" spans="1:14" ht="23.25">
      <c r="A931">
        <v>930</v>
      </c>
      <c r="B931" s="2" t="s">
        <v>2208</v>
      </c>
      <c r="C931" s="2">
        <v>2005</v>
      </c>
      <c r="D931" s="2" t="s">
        <v>79</v>
      </c>
      <c r="E931" s="2" t="s">
        <v>60</v>
      </c>
      <c r="F931" s="2">
        <v>7.6</v>
      </c>
      <c r="G931" s="2">
        <v>72</v>
      </c>
      <c r="H931" s="2" t="s">
        <v>1116</v>
      </c>
      <c r="I931" s="2" t="s">
        <v>2209</v>
      </c>
      <c r="J931" s="2">
        <v>206294</v>
      </c>
      <c r="K931" s="3">
        <v>23089926</v>
      </c>
      <c r="L931">
        <f t="shared" si="28"/>
        <v>0</v>
      </c>
      <c r="N931">
        <f t="shared" si="29"/>
        <v>0</v>
      </c>
    </row>
    <row r="932" spans="1:14" ht="23.25">
      <c r="A932">
        <v>931</v>
      </c>
      <c r="B932" s="2" t="s">
        <v>2210</v>
      </c>
      <c r="C932" s="2">
        <v>2009</v>
      </c>
      <c r="D932" s="2" t="s">
        <v>525</v>
      </c>
      <c r="E932" s="2" t="s">
        <v>27</v>
      </c>
      <c r="F932" s="2">
        <v>7.6</v>
      </c>
      <c r="G932" s="2">
        <v>56</v>
      </c>
      <c r="H932" s="2" t="s">
        <v>2206</v>
      </c>
      <c r="I932" s="2" t="s">
        <v>2211</v>
      </c>
      <c r="J932" s="2">
        <v>500799</v>
      </c>
      <c r="K932" s="3">
        <v>107509799</v>
      </c>
      <c r="L932">
        <f t="shared" si="28"/>
        <v>0</v>
      </c>
      <c r="N932">
        <f t="shared" si="29"/>
        <v>1</v>
      </c>
    </row>
    <row r="933" spans="1:14" ht="23.25">
      <c r="A933">
        <v>932</v>
      </c>
      <c r="B933" s="2" t="s">
        <v>2212</v>
      </c>
      <c r="C933" s="2">
        <v>2005</v>
      </c>
      <c r="D933" s="2" t="s">
        <v>140</v>
      </c>
      <c r="E933" s="2" t="s">
        <v>27</v>
      </c>
      <c r="F933" s="2">
        <v>7.6</v>
      </c>
      <c r="G933" s="2">
        <v>62</v>
      </c>
      <c r="H933" s="2" t="s">
        <v>1642</v>
      </c>
      <c r="I933" s="2" t="s">
        <v>1926</v>
      </c>
      <c r="J933" s="2">
        <v>294140</v>
      </c>
      <c r="K933" s="3">
        <v>24149632</v>
      </c>
      <c r="L933">
        <f t="shared" si="28"/>
        <v>0</v>
      </c>
      <c r="N933">
        <f t="shared" si="29"/>
        <v>0</v>
      </c>
    </row>
    <row r="934" spans="1:14" ht="14.25">
      <c r="A934">
        <v>933</v>
      </c>
      <c r="B934" s="2" t="s">
        <v>2213</v>
      </c>
      <c r="C934" s="2">
        <v>2004</v>
      </c>
      <c r="D934" s="2" t="s">
        <v>387</v>
      </c>
      <c r="E934" s="2" t="s">
        <v>194</v>
      </c>
      <c r="F934" s="2">
        <v>7.6</v>
      </c>
      <c r="G934" s="2">
        <v>46</v>
      </c>
      <c r="H934" s="2" t="s">
        <v>2214</v>
      </c>
      <c r="I934" s="2" t="s">
        <v>1100</v>
      </c>
      <c r="J934" s="2">
        <v>379020</v>
      </c>
      <c r="K934" s="3">
        <v>56000369</v>
      </c>
      <c r="L934">
        <f t="shared" si="28"/>
        <v>0</v>
      </c>
      <c r="N934">
        <f t="shared" si="29"/>
        <v>1</v>
      </c>
    </row>
    <row r="935" spans="1:14" ht="35.25">
      <c r="A935">
        <v>934</v>
      </c>
      <c r="B935" s="2" t="s">
        <v>2215</v>
      </c>
      <c r="C935" s="2">
        <v>2008</v>
      </c>
      <c r="D935" s="2" t="s">
        <v>79</v>
      </c>
      <c r="E935" s="2" t="s">
        <v>17</v>
      </c>
      <c r="F935" s="2">
        <v>7.6</v>
      </c>
      <c r="G935" s="2">
        <v>67</v>
      </c>
      <c r="H935" s="2" t="s">
        <v>2216</v>
      </c>
      <c r="I935" s="2" t="s">
        <v>2217</v>
      </c>
      <c r="J935" s="2">
        <v>83158</v>
      </c>
      <c r="K935" s="3">
        <v>3081925</v>
      </c>
      <c r="L935">
        <f t="shared" si="28"/>
        <v>0</v>
      </c>
      <c r="N935">
        <f t="shared" si="29"/>
        <v>0</v>
      </c>
    </row>
    <row r="936" spans="1:14" ht="23.25">
      <c r="A936">
        <v>935</v>
      </c>
      <c r="B936" s="2" t="s">
        <v>2218</v>
      </c>
      <c r="C936" s="2">
        <v>2004</v>
      </c>
      <c r="D936" s="2" t="s">
        <v>233</v>
      </c>
      <c r="E936" s="2" t="s">
        <v>17</v>
      </c>
      <c r="F936" s="2">
        <v>7.6</v>
      </c>
      <c r="G936" s="2">
        <v>73</v>
      </c>
      <c r="H936" s="2" t="s">
        <v>2219</v>
      </c>
      <c r="I936" s="2" t="s">
        <v>2220</v>
      </c>
      <c r="J936" s="2">
        <v>65939</v>
      </c>
      <c r="K936" s="3">
        <v>697181</v>
      </c>
      <c r="L936">
        <f t="shared" si="28"/>
        <v>0</v>
      </c>
      <c r="N936">
        <f t="shared" si="29"/>
        <v>0</v>
      </c>
    </row>
    <row r="937" spans="1:14" ht="23.25">
      <c r="A937">
        <v>936</v>
      </c>
      <c r="B937" s="2" t="s">
        <v>2221</v>
      </c>
      <c r="C937" s="2">
        <v>2003</v>
      </c>
      <c r="D937" s="2" t="s">
        <v>649</v>
      </c>
      <c r="E937" s="2" t="s">
        <v>93</v>
      </c>
      <c r="F937" s="2">
        <v>7.6</v>
      </c>
      <c r="G937" s="2">
        <v>45</v>
      </c>
      <c r="H937" s="2" t="s">
        <v>2222</v>
      </c>
      <c r="I937" s="2" t="s">
        <v>2223</v>
      </c>
      <c r="J937" s="2">
        <v>67360</v>
      </c>
      <c r="K937" s="3">
        <v>548707</v>
      </c>
      <c r="L937">
        <f t="shared" si="28"/>
        <v>0</v>
      </c>
      <c r="N937">
        <f t="shared" si="29"/>
        <v>0</v>
      </c>
    </row>
    <row r="938" spans="1:14" ht="35.25">
      <c r="A938">
        <v>937</v>
      </c>
      <c r="B938" s="2" t="s">
        <v>2224</v>
      </c>
      <c r="C938" s="2">
        <v>2004</v>
      </c>
      <c r="D938" s="2" t="s">
        <v>83</v>
      </c>
      <c r="E938" s="2" t="s">
        <v>60</v>
      </c>
      <c r="F938" s="2">
        <v>7.6</v>
      </c>
      <c r="G938" s="2">
        <v>76</v>
      </c>
      <c r="H938" s="2" t="s">
        <v>327</v>
      </c>
      <c r="I938" s="2" t="s">
        <v>328</v>
      </c>
      <c r="J938" s="2">
        <v>70925</v>
      </c>
      <c r="K938" s="3">
        <v>6167817</v>
      </c>
      <c r="L938">
        <f t="shared" si="28"/>
        <v>0</v>
      </c>
      <c r="N938">
        <f t="shared" si="29"/>
        <v>0</v>
      </c>
    </row>
    <row r="939" spans="1:14" ht="23.25">
      <c r="A939">
        <v>938</v>
      </c>
      <c r="B939" s="2" t="s">
        <v>2225</v>
      </c>
      <c r="C939" s="2">
        <v>2003</v>
      </c>
      <c r="D939" s="2" t="s">
        <v>185</v>
      </c>
      <c r="E939" s="2" t="s">
        <v>93</v>
      </c>
      <c r="F939" s="2">
        <v>7.6</v>
      </c>
      <c r="G939" s="2">
        <v>81</v>
      </c>
      <c r="H939" s="2" t="s">
        <v>646</v>
      </c>
      <c r="I939" s="2" t="s">
        <v>2226</v>
      </c>
      <c r="J939" s="2">
        <v>67370</v>
      </c>
      <c r="K939" s="3">
        <v>5739376</v>
      </c>
      <c r="L939">
        <f t="shared" si="28"/>
        <v>0</v>
      </c>
      <c r="N939">
        <f t="shared" si="29"/>
        <v>0</v>
      </c>
    </row>
    <row r="940" spans="1:14" ht="23.25">
      <c r="A940">
        <v>939</v>
      </c>
      <c r="B940" s="2" t="s">
        <v>2227</v>
      </c>
      <c r="C940" s="2">
        <v>2003</v>
      </c>
      <c r="D940" s="2" t="s">
        <v>79</v>
      </c>
      <c r="E940" s="2" t="s">
        <v>22</v>
      </c>
      <c r="F940" s="2">
        <v>7.6</v>
      </c>
      <c r="G940" s="2">
        <v>70</v>
      </c>
      <c r="H940" s="2" t="s">
        <v>714</v>
      </c>
      <c r="I940" s="2" t="s">
        <v>683</v>
      </c>
      <c r="J940" s="2">
        <v>224545</v>
      </c>
      <c r="K940" s="3">
        <v>16290476</v>
      </c>
      <c r="L940">
        <f t="shared" si="28"/>
        <v>0</v>
      </c>
      <c r="N940">
        <f t="shared" si="29"/>
        <v>0</v>
      </c>
    </row>
    <row r="941" spans="1:14" ht="23.25">
      <c r="A941">
        <v>940</v>
      </c>
      <c r="B941" s="2" t="s">
        <v>2228</v>
      </c>
      <c r="C941" s="2">
        <v>2002</v>
      </c>
      <c r="D941" s="2" t="s">
        <v>368</v>
      </c>
      <c r="E941" s="2" t="s">
        <v>22</v>
      </c>
      <c r="F941" s="2">
        <v>7.6</v>
      </c>
      <c r="G941" s="2">
        <v>56</v>
      </c>
      <c r="H941" s="2" t="s">
        <v>254</v>
      </c>
      <c r="I941" s="2" t="s">
        <v>95</v>
      </c>
      <c r="J941" s="2">
        <v>62659</v>
      </c>
      <c r="K941" s="3">
        <v>45289</v>
      </c>
      <c r="L941">
        <f t="shared" si="28"/>
        <v>0</v>
      </c>
      <c r="N941">
        <f t="shared" si="29"/>
        <v>0</v>
      </c>
    </row>
    <row r="942" spans="1:14" ht="23.25">
      <c r="A942">
        <v>941</v>
      </c>
      <c r="B942" s="2" t="s">
        <v>2229</v>
      </c>
      <c r="C942" s="2">
        <v>2004</v>
      </c>
      <c r="D942" s="2" t="s">
        <v>144</v>
      </c>
      <c r="E942" s="2" t="s">
        <v>47</v>
      </c>
      <c r="F942" s="2">
        <v>7.6</v>
      </c>
      <c r="G942" s="2">
        <v>67</v>
      </c>
      <c r="H942" s="2" t="s">
        <v>2230</v>
      </c>
      <c r="I942" s="2" t="s">
        <v>1023</v>
      </c>
      <c r="J942" s="2">
        <v>198677</v>
      </c>
      <c r="K942" s="3">
        <v>51680613</v>
      </c>
      <c r="L942">
        <f t="shared" si="28"/>
        <v>0</v>
      </c>
      <c r="N942">
        <f t="shared" si="29"/>
        <v>1</v>
      </c>
    </row>
    <row r="943" spans="1:14" ht="23.25">
      <c r="A943">
        <v>942</v>
      </c>
      <c r="B943" s="2" t="s">
        <v>2231</v>
      </c>
      <c r="C943" s="2">
        <v>2002</v>
      </c>
      <c r="D943" s="2" t="s">
        <v>454</v>
      </c>
      <c r="E943" s="2" t="s">
        <v>17</v>
      </c>
      <c r="F943" s="2">
        <v>7.6</v>
      </c>
      <c r="G943" s="2">
        <v>68</v>
      </c>
      <c r="H943" s="2" t="s">
        <v>1091</v>
      </c>
      <c r="I943" s="2" t="s">
        <v>165</v>
      </c>
      <c r="J943" s="2">
        <v>169708</v>
      </c>
      <c r="K943" s="3">
        <v>13060843</v>
      </c>
      <c r="L943">
        <f t="shared" si="28"/>
        <v>0</v>
      </c>
      <c r="N943">
        <f t="shared" si="29"/>
        <v>0</v>
      </c>
    </row>
    <row r="944" spans="1:14" ht="23.25">
      <c r="A944">
        <v>943</v>
      </c>
      <c r="B944" s="2" t="s">
        <v>2232</v>
      </c>
      <c r="C944" s="2">
        <v>2004</v>
      </c>
      <c r="D944" s="2" t="s">
        <v>257</v>
      </c>
      <c r="E944" s="2" t="s">
        <v>60</v>
      </c>
      <c r="F944" s="2">
        <v>7.6</v>
      </c>
      <c r="G944" s="2">
        <v>30</v>
      </c>
      <c r="H944" s="2" t="s">
        <v>2233</v>
      </c>
      <c r="I944" s="2" t="s">
        <v>2234</v>
      </c>
      <c r="J944" s="2">
        <v>451479</v>
      </c>
      <c r="K944" s="3">
        <v>57938693</v>
      </c>
      <c r="L944">
        <f t="shared" si="28"/>
        <v>0</v>
      </c>
      <c r="N944">
        <f t="shared" si="29"/>
        <v>1</v>
      </c>
    </row>
    <row r="945" spans="1:14" ht="23.25">
      <c r="A945">
        <v>944</v>
      </c>
      <c r="B945" s="2" t="s">
        <v>2235</v>
      </c>
      <c r="C945" s="2">
        <v>2002</v>
      </c>
      <c r="D945" s="2" t="s">
        <v>257</v>
      </c>
      <c r="E945" s="2" t="s">
        <v>60</v>
      </c>
      <c r="F945" s="2">
        <v>7.6</v>
      </c>
      <c r="G945" s="2">
        <v>73</v>
      </c>
      <c r="H945" s="2" t="s">
        <v>736</v>
      </c>
      <c r="I945" s="2" t="s">
        <v>2236</v>
      </c>
      <c r="J945" s="2">
        <v>376853</v>
      </c>
      <c r="K945" s="3">
        <v>45064915</v>
      </c>
      <c r="L945">
        <f t="shared" si="28"/>
        <v>0</v>
      </c>
      <c r="N945">
        <f t="shared" si="29"/>
        <v>0</v>
      </c>
    </row>
    <row r="946" spans="1:14" ht="25.5">
      <c r="A946">
        <v>945</v>
      </c>
      <c r="B946" s="2" t="s">
        <v>2237</v>
      </c>
      <c r="C946" s="2">
        <v>2000</v>
      </c>
      <c r="D946" s="2" t="s">
        <v>366</v>
      </c>
      <c r="E946" s="2" t="s">
        <v>27</v>
      </c>
      <c r="F946" s="2">
        <v>7.6</v>
      </c>
      <c r="G946" s="2">
        <v>81</v>
      </c>
      <c r="H946" s="2" t="s">
        <v>2238</v>
      </c>
      <c r="I946" s="2" t="s">
        <v>1872</v>
      </c>
      <c r="J946" s="2">
        <v>169091</v>
      </c>
      <c r="K946" s="4" t="s">
        <v>90</v>
      </c>
      <c r="L946">
        <f t="shared" si="28"/>
        <v>0</v>
      </c>
      <c r="N946">
        <f t="shared" si="29"/>
        <v>1</v>
      </c>
    </row>
    <row r="947" spans="1:14" ht="23.25">
      <c r="A947">
        <v>946</v>
      </c>
      <c r="B947" s="2" t="s">
        <v>2239</v>
      </c>
      <c r="C947" s="2">
        <v>2001</v>
      </c>
      <c r="D947" s="2" t="s">
        <v>170</v>
      </c>
      <c r="E947" s="2" t="s">
        <v>93</v>
      </c>
      <c r="F947" s="2">
        <v>7.6</v>
      </c>
      <c r="G947" s="2">
        <v>76</v>
      </c>
      <c r="H947" s="2" t="s">
        <v>625</v>
      </c>
      <c r="I947" s="2" t="s">
        <v>1685</v>
      </c>
      <c r="J947" s="2">
        <v>266842</v>
      </c>
      <c r="K947" s="3">
        <v>52364010</v>
      </c>
      <c r="L947">
        <f t="shared" si="28"/>
        <v>0</v>
      </c>
      <c r="N947">
        <f t="shared" si="29"/>
        <v>1</v>
      </c>
    </row>
    <row r="948" spans="1:14" ht="23.25">
      <c r="A948">
        <v>947</v>
      </c>
      <c r="B948" s="2" t="s">
        <v>2240</v>
      </c>
      <c r="C948" s="2">
        <v>2001</v>
      </c>
      <c r="D948" s="2" t="s">
        <v>144</v>
      </c>
      <c r="E948" s="2" t="s">
        <v>17</v>
      </c>
      <c r="F948" s="2">
        <v>7.6</v>
      </c>
      <c r="G948" s="2">
        <v>88</v>
      </c>
      <c r="H948" s="2" t="s">
        <v>1318</v>
      </c>
      <c r="I948" s="2" t="s">
        <v>2241</v>
      </c>
      <c r="J948" s="2">
        <v>115827</v>
      </c>
      <c r="K948" s="3">
        <v>13622333</v>
      </c>
      <c r="L948">
        <f t="shared" si="28"/>
        <v>0</v>
      </c>
      <c r="N948">
        <f t="shared" si="29"/>
        <v>0</v>
      </c>
    </row>
    <row r="949" spans="1:14" ht="35.25">
      <c r="A949">
        <v>948</v>
      </c>
      <c r="B949" s="2" t="s">
        <v>2242</v>
      </c>
      <c r="C949" s="2">
        <v>2001</v>
      </c>
      <c r="D949" s="2" t="s">
        <v>26</v>
      </c>
      <c r="E949" s="2" t="s">
        <v>102</v>
      </c>
      <c r="F949" s="2">
        <v>7.6</v>
      </c>
      <c r="G949" s="2">
        <v>64</v>
      </c>
      <c r="H949" s="2" t="s">
        <v>2243</v>
      </c>
      <c r="I949" s="2" t="s">
        <v>668</v>
      </c>
      <c r="J949" s="2">
        <v>658185</v>
      </c>
      <c r="K949" s="3">
        <v>317575550</v>
      </c>
      <c r="L949">
        <f t="shared" si="28"/>
        <v>0</v>
      </c>
      <c r="N949">
        <f t="shared" si="29"/>
        <v>1</v>
      </c>
    </row>
    <row r="950" spans="1:14" ht="23.25">
      <c r="A950">
        <v>949</v>
      </c>
      <c r="B950" s="2" t="s">
        <v>2244</v>
      </c>
      <c r="C950" s="2">
        <v>2001</v>
      </c>
      <c r="D950" s="2" t="s">
        <v>253</v>
      </c>
      <c r="E950" s="2" t="s">
        <v>194</v>
      </c>
      <c r="F950" s="2">
        <v>7.6</v>
      </c>
      <c r="G950" s="2">
        <v>74</v>
      </c>
      <c r="H950" s="2" t="s">
        <v>1012</v>
      </c>
      <c r="I950" s="2" t="s">
        <v>1033</v>
      </c>
      <c r="J950" s="2">
        <v>337651</v>
      </c>
      <c r="K950" s="3">
        <v>96522687</v>
      </c>
      <c r="L950">
        <f t="shared" si="28"/>
        <v>0</v>
      </c>
      <c r="N950">
        <f t="shared" si="29"/>
        <v>1</v>
      </c>
    </row>
    <row r="951" spans="1:14" ht="23.25">
      <c r="A951">
        <v>950</v>
      </c>
      <c r="B951" s="2" t="s">
        <v>2245</v>
      </c>
      <c r="C951" s="2">
        <v>2001</v>
      </c>
      <c r="D951" s="2" t="s">
        <v>79</v>
      </c>
      <c r="E951" s="2" t="s">
        <v>47</v>
      </c>
      <c r="F951" s="2">
        <v>7.6</v>
      </c>
      <c r="G951" s="2">
        <v>52</v>
      </c>
      <c r="H951" s="2" t="s">
        <v>2246</v>
      </c>
      <c r="I951" s="2" t="s">
        <v>1023</v>
      </c>
      <c r="J951" s="2">
        <v>240714</v>
      </c>
      <c r="K951" s="3">
        <v>52990775</v>
      </c>
      <c r="L951">
        <f t="shared" si="28"/>
        <v>0</v>
      </c>
      <c r="N951">
        <f t="shared" si="29"/>
        <v>1</v>
      </c>
    </row>
    <row r="952" spans="1:14" ht="35.25">
      <c r="A952">
        <v>951</v>
      </c>
      <c r="B952" s="2" t="s">
        <v>2247</v>
      </c>
      <c r="C952" s="2">
        <v>2001</v>
      </c>
      <c r="D952" s="2" t="s">
        <v>312</v>
      </c>
      <c r="E952" s="2" t="s">
        <v>60</v>
      </c>
      <c r="F952" s="2">
        <v>7.6</v>
      </c>
      <c r="G952" s="2">
        <v>53</v>
      </c>
      <c r="H952" s="2" t="s">
        <v>2015</v>
      </c>
      <c r="I952" s="2" t="s">
        <v>2248</v>
      </c>
      <c r="J952" s="2">
        <v>243729</v>
      </c>
      <c r="K952" s="3">
        <v>51401758</v>
      </c>
      <c r="L952">
        <f t="shared" si="28"/>
        <v>0</v>
      </c>
      <c r="N952">
        <f t="shared" si="29"/>
        <v>1</v>
      </c>
    </row>
    <row r="953" spans="1:14" ht="23.25">
      <c r="A953">
        <v>952</v>
      </c>
      <c r="B953" s="2" t="s">
        <v>2249</v>
      </c>
      <c r="C953" s="2">
        <v>2002</v>
      </c>
      <c r="D953" s="2" t="s">
        <v>596</v>
      </c>
      <c r="E953" s="2" t="s">
        <v>27</v>
      </c>
      <c r="F953" s="2">
        <v>7.6</v>
      </c>
      <c r="G953" s="2">
        <v>80</v>
      </c>
      <c r="H953" s="2" t="s">
        <v>48</v>
      </c>
      <c r="I953" s="2" t="s">
        <v>1040</v>
      </c>
      <c r="J953" s="2">
        <v>508417</v>
      </c>
      <c r="K953" s="3">
        <v>132072926</v>
      </c>
      <c r="L953">
        <f t="shared" si="28"/>
        <v>0</v>
      </c>
      <c r="N953">
        <f t="shared" si="29"/>
        <v>1</v>
      </c>
    </row>
    <row r="954" spans="1:14" ht="23.25">
      <c r="A954">
        <v>953</v>
      </c>
      <c r="B954" s="2" t="s">
        <v>2250</v>
      </c>
      <c r="C954" s="2">
        <v>1999</v>
      </c>
      <c r="D954" s="2" t="s">
        <v>75</v>
      </c>
      <c r="E954" s="2" t="s">
        <v>47</v>
      </c>
      <c r="F954" s="2">
        <v>7.6</v>
      </c>
      <c r="G954" s="2">
        <v>74</v>
      </c>
      <c r="H954" s="2" t="s">
        <v>1132</v>
      </c>
      <c r="I954" s="2" t="s">
        <v>1575</v>
      </c>
      <c r="J954" s="2">
        <v>91557</v>
      </c>
      <c r="K954" s="3">
        <v>50668906</v>
      </c>
      <c r="L954">
        <f t="shared" si="28"/>
        <v>0</v>
      </c>
      <c r="N954">
        <f t="shared" si="29"/>
        <v>1</v>
      </c>
    </row>
    <row r="955" spans="1:14" ht="23.25">
      <c r="A955">
        <v>954</v>
      </c>
      <c r="B955" s="2" t="s">
        <v>2251</v>
      </c>
      <c r="C955" s="2">
        <v>2000</v>
      </c>
      <c r="D955" s="2" t="s">
        <v>253</v>
      </c>
      <c r="E955" s="2" t="s">
        <v>93</v>
      </c>
      <c r="F955" s="2">
        <v>7.6</v>
      </c>
      <c r="G955" s="2">
        <v>64</v>
      </c>
      <c r="H955" s="2" t="s">
        <v>2252</v>
      </c>
      <c r="I955" s="2" t="s">
        <v>29</v>
      </c>
      <c r="J955" s="2">
        <v>490062</v>
      </c>
      <c r="K955" s="3">
        <v>15070285</v>
      </c>
      <c r="L955">
        <f t="shared" si="28"/>
        <v>0</v>
      </c>
      <c r="N955">
        <f t="shared" si="29"/>
        <v>0</v>
      </c>
    </row>
    <row r="956" spans="1:14" ht="23.25">
      <c r="A956">
        <v>955</v>
      </c>
      <c r="B956" s="2" t="s">
        <v>2253</v>
      </c>
      <c r="C956" s="2">
        <v>1998</v>
      </c>
      <c r="D956" s="2" t="s">
        <v>343</v>
      </c>
      <c r="E956" s="2" t="s">
        <v>22</v>
      </c>
      <c r="F956" s="2">
        <v>7.6</v>
      </c>
      <c r="G956" s="2">
        <v>77</v>
      </c>
      <c r="H956" s="2" t="s">
        <v>2254</v>
      </c>
      <c r="I956" s="2" t="s">
        <v>1331</v>
      </c>
      <c r="J956" s="2">
        <v>188317</v>
      </c>
      <c r="K956" s="3">
        <v>7267585</v>
      </c>
      <c r="L956">
        <f t="shared" si="28"/>
        <v>0</v>
      </c>
      <c r="N956">
        <f t="shared" si="29"/>
        <v>0</v>
      </c>
    </row>
    <row r="957" spans="1:14" ht="23.25">
      <c r="A957">
        <v>956</v>
      </c>
      <c r="B957" s="2" t="s">
        <v>2255</v>
      </c>
      <c r="C957" s="2">
        <v>1998</v>
      </c>
      <c r="D957" s="2" t="s">
        <v>241</v>
      </c>
      <c r="E957" s="2" t="s">
        <v>60</v>
      </c>
      <c r="F957" s="2">
        <v>7.6</v>
      </c>
      <c r="G957" s="2">
        <v>78</v>
      </c>
      <c r="H957" s="2" t="s">
        <v>1717</v>
      </c>
      <c r="I957" s="2" t="s">
        <v>1620</v>
      </c>
      <c r="J957" s="2">
        <v>172710</v>
      </c>
      <c r="K957" s="3">
        <v>36400491</v>
      </c>
      <c r="L957">
        <f t="shared" si="28"/>
        <v>0</v>
      </c>
      <c r="N957">
        <f t="shared" si="29"/>
        <v>0</v>
      </c>
    </row>
    <row r="958" spans="1:14" ht="23.25">
      <c r="A958">
        <v>957</v>
      </c>
      <c r="B958" s="2" t="s">
        <v>2256</v>
      </c>
      <c r="C958" s="2">
        <v>1998</v>
      </c>
      <c r="D958" s="2" t="s">
        <v>174</v>
      </c>
      <c r="E958" s="2" t="s">
        <v>110</v>
      </c>
      <c r="F958" s="2">
        <v>7.6</v>
      </c>
      <c r="G958" s="2">
        <v>71</v>
      </c>
      <c r="H958" s="2" t="s">
        <v>2257</v>
      </c>
      <c r="I958" s="2" t="s">
        <v>2258</v>
      </c>
      <c r="J958" s="2">
        <v>256906</v>
      </c>
      <c r="K958" s="3">
        <v>120620254</v>
      </c>
      <c r="L958">
        <f t="shared" si="28"/>
        <v>0</v>
      </c>
      <c r="N958">
        <f t="shared" si="29"/>
        <v>1</v>
      </c>
    </row>
    <row r="959" spans="1:14" ht="35.25">
      <c r="A959">
        <v>958</v>
      </c>
      <c r="B959" s="2" t="s">
        <v>2259</v>
      </c>
      <c r="C959" s="2">
        <v>1998</v>
      </c>
      <c r="D959" s="2" t="s">
        <v>123</v>
      </c>
      <c r="E959" s="2" t="s">
        <v>102</v>
      </c>
      <c r="F959" s="2">
        <v>7.6</v>
      </c>
      <c r="G959" s="2">
        <v>41</v>
      </c>
      <c r="H959" s="2" t="s">
        <v>543</v>
      </c>
      <c r="I959" s="2" t="s">
        <v>1023</v>
      </c>
      <c r="J959" s="2">
        <v>259753</v>
      </c>
      <c r="K959" s="3">
        <v>10680275</v>
      </c>
      <c r="L959">
        <f t="shared" si="28"/>
        <v>0</v>
      </c>
      <c r="N959">
        <f t="shared" si="29"/>
        <v>0</v>
      </c>
    </row>
    <row r="960" spans="1:14" ht="25.5">
      <c r="A960">
        <v>959</v>
      </c>
      <c r="B960" s="2" t="s">
        <v>2260</v>
      </c>
      <c r="C960" s="2">
        <v>1997</v>
      </c>
      <c r="D960" s="2" t="s">
        <v>323</v>
      </c>
      <c r="E960" s="2" t="s">
        <v>22</v>
      </c>
      <c r="F960" s="2">
        <v>7.6</v>
      </c>
      <c r="G960" s="2">
        <v>69</v>
      </c>
      <c r="H960" s="2" t="s">
        <v>1262</v>
      </c>
      <c r="I960" s="2" t="s">
        <v>2261</v>
      </c>
      <c r="J960" s="2">
        <v>65058</v>
      </c>
      <c r="K960" s="4" t="s">
        <v>90</v>
      </c>
      <c r="L960">
        <f t="shared" si="28"/>
        <v>0</v>
      </c>
      <c r="N960">
        <f t="shared" si="29"/>
        <v>1</v>
      </c>
    </row>
    <row r="961" spans="1:14" ht="23.25">
      <c r="A961">
        <v>960</v>
      </c>
      <c r="B961" s="2" t="s">
        <v>2262</v>
      </c>
      <c r="C961" s="2">
        <v>1998</v>
      </c>
      <c r="D961" s="2" t="s">
        <v>614</v>
      </c>
      <c r="E961" s="2" t="s">
        <v>258</v>
      </c>
      <c r="F961" s="2">
        <v>7.6</v>
      </c>
      <c r="G961" s="2">
        <v>66</v>
      </c>
      <c r="H961" s="2" t="s">
        <v>2263</v>
      </c>
      <c r="I961" s="2" t="s">
        <v>2264</v>
      </c>
      <c r="J961" s="2">
        <v>187927</v>
      </c>
      <c r="K961" s="3">
        <v>14378331</v>
      </c>
      <c r="L961">
        <f t="shared" si="28"/>
        <v>0</v>
      </c>
      <c r="N961">
        <f t="shared" si="29"/>
        <v>0</v>
      </c>
    </row>
    <row r="962" spans="1:14" ht="23.25">
      <c r="A962">
        <v>961</v>
      </c>
      <c r="B962" s="2" t="s">
        <v>2265</v>
      </c>
      <c r="C962" s="2">
        <v>1996</v>
      </c>
      <c r="D962" s="2" t="s">
        <v>213</v>
      </c>
      <c r="E962" s="2" t="s">
        <v>22</v>
      </c>
      <c r="F962" s="2">
        <v>7.6</v>
      </c>
      <c r="G962" s="2">
        <v>49</v>
      </c>
      <c r="H962" s="2" t="s">
        <v>1094</v>
      </c>
      <c r="I962" s="2" t="s">
        <v>77</v>
      </c>
      <c r="J962" s="2">
        <v>186734</v>
      </c>
      <c r="K962" s="3">
        <v>49100000</v>
      </c>
      <c r="L962">
        <f t="shared" si="28"/>
        <v>0</v>
      </c>
      <c r="N962">
        <f t="shared" si="29"/>
        <v>0</v>
      </c>
    </row>
    <row r="963" spans="1:14" ht="14.25">
      <c r="A963">
        <v>962</v>
      </c>
      <c r="B963" s="2" t="s">
        <v>2266</v>
      </c>
      <c r="C963" s="2">
        <v>1997</v>
      </c>
      <c r="D963" s="2" t="s">
        <v>261</v>
      </c>
      <c r="E963" s="2" t="s">
        <v>258</v>
      </c>
      <c r="F963" s="2">
        <v>7.6</v>
      </c>
      <c r="G963" s="2">
        <v>52</v>
      </c>
      <c r="H963" s="2" t="s">
        <v>789</v>
      </c>
      <c r="I963" s="2" t="s">
        <v>2267</v>
      </c>
      <c r="J963" s="2">
        <v>131101</v>
      </c>
      <c r="K963" s="3">
        <v>3796699</v>
      </c>
      <c r="L963">
        <f t="shared" ref="L963:L1001" si="30">IF(AND(F963&gt;=8.2, G963&gt;8.2), 1, 0)</f>
        <v>0</v>
      </c>
      <c r="N963">
        <f t="shared" ref="N963:N1001" si="31">IF(K963&gt;=50000000, 1, 0)</f>
        <v>0</v>
      </c>
    </row>
    <row r="964" spans="1:14" ht="23.25">
      <c r="A964">
        <v>963</v>
      </c>
      <c r="B964" s="2" t="s">
        <v>2268</v>
      </c>
      <c r="C964" s="2">
        <v>1995</v>
      </c>
      <c r="D964" s="2" t="s">
        <v>71</v>
      </c>
      <c r="E964" s="2" t="s">
        <v>60</v>
      </c>
      <c r="F964" s="2">
        <v>7.6</v>
      </c>
      <c r="G964" s="2">
        <v>84</v>
      </c>
      <c r="H964" s="2" t="s">
        <v>1299</v>
      </c>
      <c r="I964" s="2" t="s">
        <v>2269</v>
      </c>
      <c r="J964" s="2">
        <v>102598</v>
      </c>
      <c r="K964" s="3">
        <v>43182776</v>
      </c>
      <c r="L964">
        <f t="shared" si="30"/>
        <v>0</v>
      </c>
      <c r="N964">
        <f t="shared" si="31"/>
        <v>0</v>
      </c>
    </row>
    <row r="965" spans="1:14" ht="23.25">
      <c r="A965">
        <v>964</v>
      </c>
      <c r="B965" s="2" t="s">
        <v>2270</v>
      </c>
      <c r="C965" s="2">
        <v>1995</v>
      </c>
      <c r="D965" s="2" t="s">
        <v>385</v>
      </c>
      <c r="E965" s="2" t="s">
        <v>27</v>
      </c>
      <c r="F965" s="2">
        <v>7.6</v>
      </c>
      <c r="G965" s="2">
        <v>58</v>
      </c>
      <c r="H965" s="2" t="s">
        <v>522</v>
      </c>
      <c r="I965" s="2" t="s">
        <v>523</v>
      </c>
      <c r="J965" s="2">
        <v>364420</v>
      </c>
      <c r="K965" s="3">
        <v>100012499</v>
      </c>
      <c r="L965">
        <f t="shared" si="30"/>
        <v>0</v>
      </c>
      <c r="N965">
        <f t="shared" si="31"/>
        <v>1</v>
      </c>
    </row>
    <row r="966" spans="1:14" ht="23.25">
      <c r="A966">
        <v>965</v>
      </c>
      <c r="B966" s="2" t="s">
        <v>2271</v>
      </c>
      <c r="C966" s="2">
        <v>1995</v>
      </c>
      <c r="D966" s="2" t="s">
        <v>127</v>
      </c>
      <c r="E966" s="2" t="s">
        <v>102</v>
      </c>
      <c r="F966" s="2">
        <v>7.6</v>
      </c>
      <c r="G966" s="2">
        <v>62</v>
      </c>
      <c r="H966" s="2" t="s">
        <v>1668</v>
      </c>
      <c r="I966" s="2" t="s">
        <v>1023</v>
      </c>
      <c r="J966" s="2">
        <v>90442</v>
      </c>
      <c r="K966" s="3">
        <v>1037847</v>
      </c>
      <c r="L966">
        <f t="shared" si="30"/>
        <v>0</v>
      </c>
      <c r="N966">
        <f t="shared" si="31"/>
        <v>0</v>
      </c>
    </row>
    <row r="967" spans="1:14" ht="35.25">
      <c r="A967">
        <v>966</v>
      </c>
      <c r="B967" s="2" t="s">
        <v>2272</v>
      </c>
      <c r="C967" s="2">
        <v>1995</v>
      </c>
      <c r="D967" s="2" t="s">
        <v>454</v>
      </c>
      <c r="E967" s="2" t="s">
        <v>60</v>
      </c>
      <c r="F967" s="2">
        <v>7.6</v>
      </c>
      <c r="G967" s="2">
        <v>69</v>
      </c>
      <c r="H967" s="2" t="s">
        <v>67</v>
      </c>
      <c r="I967" s="2" t="s">
        <v>67</v>
      </c>
      <c r="J967" s="2">
        <v>73172</v>
      </c>
      <c r="K967" s="3">
        <v>71516617</v>
      </c>
      <c r="L967">
        <f t="shared" si="30"/>
        <v>0</v>
      </c>
      <c r="N967">
        <f t="shared" si="31"/>
        <v>1</v>
      </c>
    </row>
    <row r="968" spans="1:14" ht="23.25">
      <c r="A968">
        <v>967</v>
      </c>
      <c r="B968" s="2" t="s">
        <v>2273</v>
      </c>
      <c r="C968" s="2" t="s">
        <v>2274</v>
      </c>
      <c r="D968" s="2" t="s">
        <v>460</v>
      </c>
      <c r="E968" s="2" t="s">
        <v>102</v>
      </c>
      <c r="F968" s="2">
        <v>7.6</v>
      </c>
      <c r="G968" s="2">
        <v>77</v>
      </c>
      <c r="H968" s="2" t="s">
        <v>497</v>
      </c>
      <c r="I968" s="2" t="s">
        <v>62</v>
      </c>
      <c r="J968" s="2">
        <v>269197</v>
      </c>
      <c r="K968" s="3">
        <v>173837933</v>
      </c>
      <c r="L968">
        <f t="shared" si="30"/>
        <v>0</v>
      </c>
      <c r="N968">
        <f t="shared" si="31"/>
        <v>1</v>
      </c>
    </row>
    <row r="969" spans="1:14" ht="35.25">
      <c r="A969">
        <v>968</v>
      </c>
      <c r="B969" s="2" t="s">
        <v>2275</v>
      </c>
      <c r="C969" s="2">
        <v>1994</v>
      </c>
      <c r="D969" s="2" t="s">
        <v>676</v>
      </c>
      <c r="E969" s="2" t="s">
        <v>93</v>
      </c>
      <c r="F969" s="2">
        <v>7.6</v>
      </c>
      <c r="G969" s="2">
        <v>88</v>
      </c>
      <c r="H969" s="2" t="s">
        <v>748</v>
      </c>
      <c r="I969" s="2" t="s">
        <v>2276</v>
      </c>
      <c r="J969" s="2">
        <v>64390</v>
      </c>
      <c r="K969" s="3">
        <v>1464625</v>
      </c>
      <c r="L969">
        <f t="shared" si="30"/>
        <v>0</v>
      </c>
      <c r="N969">
        <f t="shared" si="31"/>
        <v>0</v>
      </c>
    </row>
    <row r="970" spans="1:14" ht="35.25">
      <c r="A970">
        <v>969</v>
      </c>
      <c r="B970" s="2" t="s">
        <v>2277</v>
      </c>
      <c r="C970" s="2">
        <v>1993</v>
      </c>
      <c r="D970" s="2" t="s">
        <v>257</v>
      </c>
      <c r="E970" s="2" t="s">
        <v>27</v>
      </c>
      <c r="F970" s="2">
        <v>7.6</v>
      </c>
      <c r="G970" s="2">
        <v>56</v>
      </c>
      <c r="H970" s="2" t="s">
        <v>2278</v>
      </c>
      <c r="I970" s="2" t="s">
        <v>1644</v>
      </c>
      <c r="J970" s="2">
        <v>171640</v>
      </c>
      <c r="K970" s="3">
        <v>40903593</v>
      </c>
      <c r="L970">
        <f t="shared" si="30"/>
        <v>0</v>
      </c>
      <c r="N970">
        <f t="shared" si="31"/>
        <v>0</v>
      </c>
    </row>
    <row r="971" spans="1:14" ht="23.25">
      <c r="A971">
        <v>970</v>
      </c>
      <c r="B971" s="2" t="s">
        <v>2279</v>
      </c>
      <c r="C971" s="2">
        <v>1993</v>
      </c>
      <c r="D971" s="2" t="s">
        <v>198</v>
      </c>
      <c r="E971" s="2" t="s">
        <v>281</v>
      </c>
      <c r="F971" s="2">
        <v>7.6</v>
      </c>
      <c r="G971" s="2">
        <v>78</v>
      </c>
      <c r="H971" s="2" t="s">
        <v>701</v>
      </c>
      <c r="I971" s="2" t="s">
        <v>2280</v>
      </c>
      <c r="J971" s="2">
        <v>165465</v>
      </c>
      <c r="K971" s="3">
        <v>7993039</v>
      </c>
      <c r="L971">
        <f t="shared" si="30"/>
        <v>0</v>
      </c>
      <c r="N971">
        <f t="shared" si="31"/>
        <v>0</v>
      </c>
    </row>
    <row r="972" spans="1:14" ht="23.25">
      <c r="A972">
        <v>971</v>
      </c>
      <c r="B972" s="2" t="s">
        <v>2281</v>
      </c>
      <c r="C972" s="2">
        <v>1992</v>
      </c>
      <c r="D972" s="2" t="s">
        <v>660</v>
      </c>
      <c r="E972" s="2" t="s">
        <v>93</v>
      </c>
      <c r="F972" s="2">
        <v>7.6</v>
      </c>
      <c r="G972" s="2">
        <v>68</v>
      </c>
      <c r="H972" s="2" t="s">
        <v>2282</v>
      </c>
      <c r="I972" s="2" t="s">
        <v>2283</v>
      </c>
      <c r="J972" s="2">
        <v>107325</v>
      </c>
      <c r="K972" s="3">
        <v>52929168</v>
      </c>
      <c r="L972">
        <f t="shared" si="30"/>
        <v>0</v>
      </c>
      <c r="N972">
        <f t="shared" si="31"/>
        <v>1</v>
      </c>
    </row>
    <row r="973" spans="1:14" ht="23.25">
      <c r="A973">
        <v>972</v>
      </c>
      <c r="B973" s="2" t="s">
        <v>2284</v>
      </c>
      <c r="C973" s="2">
        <v>1991</v>
      </c>
      <c r="D973" s="2" t="s">
        <v>123</v>
      </c>
      <c r="E973" s="2" t="s">
        <v>110</v>
      </c>
      <c r="F973" s="2">
        <v>7.6</v>
      </c>
      <c r="G973" s="2">
        <v>90</v>
      </c>
      <c r="H973" s="2" t="s">
        <v>186</v>
      </c>
      <c r="I973" s="2" t="s">
        <v>2285</v>
      </c>
      <c r="J973" s="2">
        <v>27071</v>
      </c>
      <c r="K973" s="3">
        <v>453243</v>
      </c>
      <c r="L973">
        <f t="shared" si="30"/>
        <v>0</v>
      </c>
      <c r="N973">
        <f t="shared" si="31"/>
        <v>0</v>
      </c>
    </row>
    <row r="974" spans="1:14" ht="23.25">
      <c r="A974">
        <v>973</v>
      </c>
      <c r="B974" s="2" t="s">
        <v>2286</v>
      </c>
      <c r="C974" s="2">
        <v>1991</v>
      </c>
      <c r="D974" s="2" t="s">
        <v>348</v>
      </c>
      <c r="E974" s="2" t="s">
        <v>93</v>
      </c>
      <c r="F974" s="2">
        <v>7.6</v>
      </c>
      <c r="G974" s="2">
        <v>66</v>
      </c>
      <c r="H974" s="2" t="s">
        <v>2287</v>
      </c>
      <c r="I974" s="2" t="s">
        <v>327</v>
      </c>
      <c r="J974" s="2">
        <v>80487</v>
      </c>
      <c r="K974" s="3">
        <v>1794187</v>
      </c>
      <c r="L974">
        <f t="shared" si="30"/>
        <v>0</v>
      </c>
      <c r="N974">
        <f t="shared" si="31"/>
        <v>0</v>
      </c>
    </row>
    <row r="975" spans="1:14" ht="23.25">
      <c r="A975">
        <v>974</v>
      </c>
      <c r="B975" s="2" t="s">
        <v>2288</v>
      </c>
      <c r="C975" s="2">
        <v>1990</v>
      </c>
      <c r="D975" s="2" t="s">
        <v>387</v>
      </c>
      <c r="E975" s="2" t="s">
        <v>93</v>
      </c>
      <c r="F975" s="2">
        <v>7.6</v>
      </c>
      <c r="G975" s="2">
        <v>63</v>
      </c>
      <c r="H975" s="2" t="s">
        <v>2243</v>
      </c>
      <c r="I975" s="2" t="s">
        <v>2289</v>
      </c>
      <c r="J975" s="2">
        <v>488817</v>
      </c>
      <c r="K975" s="3">
        <v>285761243</v>
      </c>
      <c r="L975">
        <f t="shared" si="30"/>
        <v>0</v>
      </c>
      <c r="N975">
        <f t="shared" si="31"/>
        <v>1</v>
      </c>
    </row>
    <row r="976" spans="1:14" ht="23.25">
      <c r="A976">
        <v>975</v>
      </c>
      <c r="B976" s="2" t="s">
        <v>2290</v>
      </c>
      <c r="C976" s="2">
        <v>1990</v>
      </c>
      <c r="D976" s="2" t="s">
        <v>525</v>
      </c>
      <c r="E976" s="2" t="s">
        <v>22</v>
      </c>
      <c r="F976" s="2">
        <v>7.6</v>
      </c>
      <c r="G976" s="2">
        <v>60</v>
      </c>
      <c r="H976" s="2" t="s">
        <v>23</v>
      </c>
      <c r="I976" s="2" t="s">
        <v>32</v>
      </c>
      <c r="J976" s="2">
        <v>359809</v>
      </c>
      <c r="K976" s="3">
        <v>66666062</v>
      </c>
      <c r="L976">
        <f t="shared" si="30"/>
        <v>0</v>
      </c>
      <c r="N976">
        <f t="shared" si="31"/>
        <v>1</v>
      </c>
    </row>
    <row r="977" spans="1:14" ht="23.25">
      <c r="A977">
        <v>976</v>
      </c>
      <c r="B977" s="2" t="s">
        <v>2291</v>
      </c>
      <c r="C977" s="2">
        <v>1989</v>
      </c>
      <c r="D977" s="2" t="s">
        <v>280</v>
      </c>
      <c r="E977" s="2" t="s">
        <v>93</v>
      </c>
      <c r="F977" s="2">
        <v>7.6</v>
      </c>
      <c r="G977" s="2">
        <v>76</v>
      </c>
      <c r="H977" s="2" t="s">
        <v>765</v>
      </c>
      <c r="I977" s="2" t="s">
        <v>2292</v>
      </c>
      <c r="J977" s="2">
        <v>195663</v>
      </c>
      <c r="K977" s="3">
        <v>92823600</v>
      </c>
      <c r="L977">
        <f t="shared" si="30"/>
        <v>0</v>
      </c>
      <c r="N977">
        <f t="shared" si="31"/>
        <v>1</v>
      </c>
    </row>
    <row r="978" spans="1:14" ht="23.25">
      <c r="A978">
        <v>977</v>
      </c>
      <c r="B978" s="2" t="s">
        <v>2293</v>
      </c>
      <c r="C978" s="2">
        <v>1989</v>
      </c>
      <c r="D978" s="2" t="s">
        <v>1065</v>
      </c>
      <c r="E978" s="2" t="s">
        <v>110</v>
      </c>
      <c r="F978" s="2">
        <v>7.6</v>
      </c>
      <c r="G978" s="2">
        <v>88</v>
      </c>
      <c r="H978" s="2" t="s">
        <v>1081</v>
      </c>
      <c r="I978" s="2" t="s">
        <v>1082</v>
      </c>
      <c r="J978" s="2">
        <v>237696</v>
      </c>
      <c r="K978" s="3">
        <v>111543479</v>
      </c>
      <c r="L978">
        <f t="shared" si="30"/>
        <v>0</v>
      </c>
      <c r="N978">
        <f t="shared" si="31"/>
        <v>1</v>
      </c>
    </row>
    <row r="979" spans="1:14" ht="35.25">
      <c r="A979">
        <v>978</v>
      </c>
      <c r="B979" s="2" t="s">
        <v>2294</v>
      </c>
      <c r="C979" s="2">
        <v>1988</v>
      </c>
      <c r="D979" s="2" t="s">
        <v>819</v>
      </c>
      <c r="E979" s="2" t="s">
        <v>93</v>
      </c>
      <c r="F979" s="2">
        <v>7.6</v>
      </c>
      <c r="G979" s="2">
        <v>76</v>
      </c>
      <c r="H979" s="2" t="s">
        <v>2034</v>
      </c>
      <c r="I979" s="2" t="s">
        <v>2295</v>
      </c>
      <c r="J979" s="2">
        <v>152871</v>
      </c>
      <c r="K979" s="3">
        <v>78756177</v>
      </c>
      <c r="L979">
        <f t="shared" si="30"/>
        <v>0</v>
      </c>
      <c r="N979">
        <f t="shared" si="31"/>
        <v>1</v>
      </c>
    </row>
    <row r="980" spans="1:14" ht="23.25">
      <c r="A980">
        <v>979</v>
      </c>
      <c r="B980" s="2" t="s">
        <v>2296</v>
      </c>
      <c r="C980" s="2">
        <v>1987</v>
      </c>
      <c r="D980" s="2" t="s">
        <v>649</v>
      </c>
      <c r="E980" s="2" t="s">
        <v>93</v>
      </c>
      <c r="F980" s="2">
        <v>7.6</v>
      </c>
      <c r="G980" s="2">
        <v>72</v>
      </c>
      <c r="H980" s="2" t="s">
        <v>1691</v>
      </c>
      <c r="I980" s="2" t="s">
        <v>2297</v>
      </c>
      <c r="J980" s="2">
        <v>124773</v>
      </c>
      <c r="K980" s="3">
        <v>49530280</v>
      </c>
      <c r="L980">
        <f t="shared" si="30"/>
        <v>0</v>
      </c>
      <c r="N980">
        <f t="shared" si="31"/>
        <v>0</v>
      </c>
    </row>
    <row r="981" spans="1:14" ht="23.25">
      <c r="A981">
        <v>980</v>
      </c>
      <c r="B981" s="2" t="s">
        <v>2298</v>
      </c>
      <c r="C981" s="2">
        <v>1987</v>
      </c>
      <c r="D981" s="2" t="s">
        <v>193</v>
      </c>
      <c r="E981" s="2" t="s">
        <v>27</v>
      </c>
      <c r="F981" s="2">
        <v>7.6</v>
      </c>
      <c r="G981" s="2">
        <v>68</v>
      </c>
      <c r="H981" s="2" t="s">
        <v>1695</v>
      </c>
      <c r="I981" s="2" t="s">
        <v>346</v>
      </c>
      <c r="J981" s="2">
        <v>236894</v>
      </c>
      <c r="K981" s="3">
        <v>65207127</v>
      </c>
      <c r="L981">
        <f t="shared" si="30"/>
        <v>0</v>
      </c>
      <c r="N981">
        <f t="shared" si="31"/>
        <v>1</v>
      </c>
    </row>
    <row r="982" spans="1:14" ht="14.25">
      <c r="A982">
        <v>981</v>
      </c>
      <c r="B982" s="2" t="s">
        <v>2299</v>
      </c>
      <c r="C982" s="2">
        <v>1984</v>
      </c>
      <c r="D982" s="2" t="s">
        <v>348</v>
      </c>
      <c r="E982" s="2" t="s">
        <v>22</v>
      </c>
      <c r="F982" s="2">
        <v>7.6</v>
      </c>
      <c r="G982" s="2">
        <v>82</v>
      </c>
      <c r="H982" s="2" t="s">
        <v>687</v>
      </c>
      <c r="I982" s="2" t="s">
        <v>686</v>
      </c>
      <c r="J982" s="2">
        <v>87745</v>
      </c>
      <c r="K982" s="3">
        <v>2150000</v>
      </c>
      <c r="L982">
        <f t="shared" si="30"/>
        <v>0</v>
      </c>
      <c r="N982">
        <f t="shared" si="31"/>
        <v>0</v>
      </c>
    </row>
    <row r="983" spans="1:14" ht="23.25">
      <c r="A983">
        <v>982</v>
      </c>
      <c r="B983" s="2" t="s">
        <v>2300</v>
      </c>
      <c r="C983" s="2">
        <v>1981</v>
      </c>
      <c r="D983" s="2" t="s">
        <v>193</v>
      </c>
      <c r="E983" s="2" t="s">
        <v>17</v>
      </c>
      <c r="F983" s="2">
        <v>7.6</v>
      </c>
      <c r="G983" s="2">
        <v>68</v>
      </c>
      <c r="H983" s="2" t="s">
        <v>2301</v>
      </c>
      <c r="I983" s="2" t="s">
        <v>1765</v>
      </c>
      <c r="J983" s="2">
        <v>27650</v>
      </c>
      <c r="K983" s="3">
        <v>119285432</v>
      </c>
      <c r="L983">
        <f t="shared" si="30"/>
        <v>0</v>
      </c>
      <c r="N983">
        <f t="shared" si="31"/>
        <v>1</v>
      </c>
    </row>
    <row r="984" spans="1:14" ht="23.25">
      <c r="A984">
        <v>983</v>
      </c>
      <c r="B984" s="2" t="s">
        <v>2302</v>
      </c>
      <c r="C984" s="2">
        <v>1981</v>
      </c>
      <c r="D984" s="2" t="s">
        <v>34</v>
      </c>
      <c r="E984" s="2" t="s">
        <v>27</v>
      </c>
      <c r="F984" s="2">
        <v>7.6</v>
      </c>
      <c r="G984" s="2">
        <v>77</v>
      </c>
      <c r="H984" s="2" t="s">
        <v>661</v>
      </c>
      <c r="I984" s="2" t="s">
        <v>346</v>
      </c>
      <c r="J984" s="2">
        <v>166588</v>
      </c>
      <c r="K984" s="3">
        <v>12465371</v>
      </c>
      <c r="L984">
        <f t="shared" si="30"/>
        <v>0</v>
      </c>
      <c r="N984">
        <f t="shared" si="31"/>
        <v>0</v>
      </c>
    </row>
    <row r="985" spans="1:14" ht="23.25">
      <c r="A985">
        <v>984</v>
      </c>
      <c r="B985" s="2" t="s">
        <v>2303</v>
      </c>
      <c r="C985" s="2">
        <v>1979</v>
      </c>
      <c r="D985" s="2" t="s">
        <v>676</v>
      </c>
      <c r="E985" s="2" t="s">
        <v>27</v>
      </c>
      <c r="F985" s="2">
        <v>7.6</v>
      </c>
      <c r="G985" s="2">
        <v>65</v>
      </c>
      <c r="H985" s="2" t="s">
        <v>2304</v>
      </c>
      <c r="I985" s="2" t="s">
        <v>2305</v>
      </c>
      <c r="J985" s="2">
        <v>93878</v>
      </c>
      <c r="K985" s="3">
        <v>22490039</v>
      </c>
      <c r="L985">
        <f t="shared" si="30"/>
        <v>0</v>
      </c>
      <c r="N985">
        <f t="shared" si="31"/>
        <v>0</v>
      </c>
    </row>
    <row r="986" spans="1:14" ht="23.25">
      <c r="A986">
        <v>985</v>
      </c>
      <c r="B986" s="2" t="s">
        <v>2306</v>
      </c>
      <c r="C986" s="2">
        <v>1979</v>
      </c>
      <c r="D986" s="2" t="s">
        <v>280</v>
      </c>
      <c r="E986" s="2" t="s">
        <v>102</v>
      </c>
      <c r="F986" s="2">
        <v>7.6</v>
      </c>
      <c r="G986" s="2">
        <v>74</v>
      </c>
      <c r="H986" s="2" t="s">
        <v>2307</v>
      </c>
      <c r="I986" s="2" t="s">
        <v>2308</v>
      </c>
      <c r="J986" s="2">
        <v>32802</v>
      </c>
      <c r="K986" s="3">
        <v>76657000</v>
      </c>
      <c r="L986">
        <f t="shared" si="30"/>
        <v>0</v>
      </c>
      <c r="N986">
        <f t="shared" si="31"/>
        <v>1</v>
      </c>
    </row>
    <row r="987" spans="1:14" ht="23.25">
      <c r="A987">
        <v>986</v>
      </c>
      <c r="B987" s="2" t="s">
        <v>2309</v>
      </c>
      <c r="C987" s="2">
        <v>1979</v>
      </c>
      <c r="D987" s="2" t="s">
        <v>148</v>
      </c>
      <c r="E987" s="2" t="s">
        <v>27</v>
      </c>
      <c r="F987" s="2">
        <v>7.6</v>
      </c>
      <c r="G987" s="2">
        <v>76</v>
      </c>
      <c r="H987" s="2" t="s">
        <v>2055</v>
      </c>
      <c r="I987" s="2" t="s">
        <v>67</v>
      </c>
      <c r="J987" s="2">
        <v>121731</v>
      </c>
      <c r="K987" s="3">
        <v>43000000</v>
      </c>
      <c r="L987">
        <f t="shared" si="30"/>
        <v>0</v>
      </c>
      <c r="N987">
        <f t="shared" si="31"/>
        <v>0</v>
      </c>
    </row>
    <row r="988" spans="1:14" ht="25.5">
      <c r="A988">
        <v>987</v>
      </c>
      <c r="B988" s="2" t="s">
        <v>2310</v>
      </c>
      <c r="C988" s="2">
        <v>1978</v>
      </c>
      <c r="D988" s="2" t="s">
        <v>542</v>
      </c>
      <c r="E988" s="2" t="s">
        <v>110</v>
      </c>
      <c r="F988" s="2">
        <v>7.6</v>
      </c>
      <c r="G988" s="2">
        <v>64</v>
      </c>
      <c r="H988" s="2" t="s">
        <v>2311</v>
      </c>
      <c r="I988" s="2" t="s">
        <v>2312</v>
      </c>
      <c r="J988" s="2">
        <v>33656</v>
      </c>
      <c r="K988" s="4" t="s">
        <v>90</v>
      </c>
      <c r="L988">
        <f t="shared" si="30"/>
        <v>0</v>
      </c>
      <c r="N988">
        <f t="shared" si="31"/>
        <v>1</v>
      </c>
    </row>
    <row r="989" spans="1:14" ht="23.25">
      <c r="A989">
        <v>988</v>
      </c>
      <c r="B989" s="2" t="s">
        <v>2313</v>
      </c>
      <c r="C989" s="2">
        <v>1978</v>
      </c>
      <c r="D989" s="2" t="s">
        <v>127</v>
      </c>
      <c r="E989" s="2" t="s">
        <v>47</v>
      </c>
      <c r="F989" s="2">
        <v>7.6</v>
      </c>
      <c r="G989" s="2">
        <v>59</v>
      </c>
      <c r="H989" s="2" t="s">
        <v>779</v>
      </c>
      <c r="I989" s="2" t="s">
        <v>2314</v>
      </c>
      <c r="J989" s="2">
        <v>73662</v>
      </c>
      <c r="K989" s="3">
        <v>35000000</v>
      </c>
      <c r="L989">
        <f t="shared" si="30"/>
        <v>0</v>
      </c>
      <c r="N989">
        <f t="shared" si="31"/>
        <v>0</v>
      </c>
    </row>
    <row r="990" spans="1:14" ht="35.25">
      <c r="A990">
        <v>989</v>
      </c>
      <c r="B990" s="2" t="s">
        <v>2315</v>
      </c>
      <c r="C990" s="2">
        <v>1977</v>
      </c>
      <c r="D990" s="2" t="s">
        <v>410</v>
      </c>
      <c r="E990" s="2" t="s">
        <v>60</v>
      </c>
      <c r="F990" s="2">
        <v>7.6</v>
      </c>
      <c r="G990" s="2">
        <v>90</v>
      </c>
      <c r="H990" s="2" t="s">
        <v>48</v>
      </c>
      <c r="I990" s="2" t="s">
        <v>2316</v>
      </c>
      <c r="J990" s="2">
        <v>184966</v>
      </c>
      <c r="K990" s="3">
        <v>132088635</v>
      </c>
      <c r="L990">
        <f t="shared" si="30"/>
        <v>0</v>
      </c>
      <c r="N990">
        <f t="shared" si="31"/>
        <v>1</v>
      </c>
    </row>
    <row r="991" spans="1:14" ht="23.25">
      <c r="A991">
        <v>990</v>
      </c>
      <c r="B991" s="2" t="s">
        <v>2317</v>
      </c>
      <c r="C991" s="2">
        <v>1973</v>
      </c>
      <c r="D991" s="2" t="s">
        <v>148</v>
      </c>
      <c r="E991" s="2" t="s">
        <v>93</v>
      </c>
      <c r="F991" s="2">
        <v>7.6</v>
      </c>
      <c r="G991" s="2">
        <v>87</v>
      </c>
      <c r="H991" s="2" t="s">
        <v>1985</v>
      </c>
      <c r="I991" s="2" t="s">
        <v>2318</v>
      </c>
      <c r="J991" s="2">
        <v>26337</v>
      </c>
      <c r="K991" s="3">
        <v>959000</v>
      </c>
      <c r="L991">
        <f t="shared" si="30"/>
        <v>0</v>
      </c>
      <c r="N991">
        <f t="shared" si="31"/>
        <v>0</v>
      </c>
    </row>
    <row r="992" spans="1:14" ht="23.25">
      <c r="A992">
        <v>991</v>
      </c>
      <c r="B992" s="2" t="s">
        <v>2319</v>
      </c>
      <c r="C992" s="2">
        <v>1971</v>
      </c>
      <c r="D992" s="2" t="s">
        <v>1254</v>
      </c>
      <c r="E992" s="2" t="s">
        <v>60</v>
      </c>
      <c r="F992" s="2">
        <v>7.6</v>
      </c>
      <c r="G992" s="2">
        <v>77</v>
      </c>
      <c r="H992" s="2" t="s">
        <v>66</v>
      </c>
      <c r="I992" s="2" t="s">
        <v>2320</v>
      </c>
      <c r="J992" s="2">
        <v>30144</v>
      </c>
      <c r="K992" s="3">
        <v>696690</v>
      </c>
      <c r="L992">
        <f t="shared" si="30"/>
        <v>0</v>
      </c>
      <c r="N992">
        <f t="shared" si="31"/>
        <v>0</v>
      </c>
    </row>
    <row r="993" spans="1:14" ht="23.25">
      <c r="A993">
        <v>992</v>
      </c>
      <c r="B993" s="2" t="s">
        <v>2321</v>
      </c>
      <c r="C993" s="2">
        <v>1970</v>
      </c>
      <c r="D993" s="2" t="s">
        <v>689</v>
      </c>
      <c r="E993" s="2" t="s">
        <v>102</v>
      </c>
      <c r="F993" s="2">
        <v>7.6</v>
      </c>
      <c r="G993" s="2">
        <v>50</v>
      </c>
      <c r="H993" s="2" t="s">
        <v>2057</v>
      </c>
      <c r="I993" s="2" t="s">
        <v>67</v>
      </c>
      <c r="J993" s="2">
        <v>45338</v>
      </c>
      <c r="K993" s="3">
        <v>1378435</v>
      </c>
      <c r="L993">
        <f t="shared" si="30"/>
        <v>0</v>
      </c>
      <c r="N993">
        <f t="shared" si="31"/>
        <v>0</v>
      </c>
    </row>
    <row r="994" spans="1:14" ht="23.25">
      <c r="A994">
        <v>993</v>
      </c>
      <c r="B994" s="2" t="s">
        <v>2322</v>
      </c>
      <c r="C994" s="2">
        <v>1967</v>
      </c>
      <c r="D994" s="2" t="s">
        <v>2323</v>
      </c>
      <c r="E994" s="2" t="s">
        <v>110</v>
      </c>
      <c r="F994" s="2">
        <v>7.6</v>
      </c>
      <c r="G994" s="2">
        <v>65</v>
      </c>
      <c r="H994" s="2" t="s">
        <v>2324</v>
      </c>
      <c r="I994" s="2" t="s">
        <v>2325</v>
      </c>
      <c r="J994" s="2">
        <v>166409</v>
      </c>
      <c r="K994" s="3">
        <v>141843612</v>
      </c>
      <c r="L994">
        <f t="shared" si="30"/>
        <v>0</v>
      </c>
      <c r="N994">
        <f t="shared" si="31"/>
        <v>1</v>
      </c>
    </row>
    <row r="995" spans="1:14" ht="25.5">
      <c r="A995">
        <v>994</v>
      </c>
      <c r="B995" s="2" t="s">
        <v>2326</v>
      </c>
      <c r="C995" s="2">
        <v>1966</v>
      </c>
      <c r="D995" s="2" t="s">
        <v>708</v>
      </c>
      <c r="E995" s="2" t="s">
        <v>60</v>
      </c>
      <c r="F995" s="2">
        <v>7.6</v>
      </c>
      <c r="G995" s="2">
        <v>82</v>
      </c>
      <c r="H995" s="2" t="s">
        <v>1409</v>
      </c>
      <c r="I995" s="2" t="s">
        <v>2327</v>
      </c>
      <c r="J995" s="2">
        <v>56513</v>
      </c>
      <c r="K995" s="4" t="s">
        <v>90</v>
      </c>
      <c r="L995">
        <f t="shared" si="30"/>
        <v>0</v>
      </c>
      <c r="N995">
        <f t="shared" si="31"/>
        <v>1</v>
      </c>
    </row>
    <row r="996" spans="1:14" ht="23.25">
      <c r="A996">
        <v>995</v>
      </c>
      <c r="B996" s="2" t="s">
        <v>2328</v>
      </c>
      <c r="C996" s="2">
        <v>1964</v>
      </c>
      <c r="D996" s="2" t="s">
        <v>202</v>
      </c>
      <c r="E996" s="2" t="s">
        <v>93</v>
      </c>
      <c r="F996" s="2">
        <v>7.6</v>
      </c>
      <c r="G996" s="2">
        <v>96</v>
      </c>
      <c r="H996" s="2" t="s">
        <v>2329</v>
      </c>
      <c r="I996" s="2" t="s">
        <v>2330</v>
      </c>
      <c r="J996" s="2">
        <v>40351</v>
      </c>
      <c r="K996" s="3">
        <v>13780024</v>
      </c>
      <c r="L996">
        <f t="shared" si="30"/>
        <v>0</v>
      </c>
      <c r="N996">
        <f t="shared" si="31"/>
        <v>0</v>
      </c>
    </row>
    <row r="997" spans="1:14" ht="25.5">
      <c r="A997">
        <v>996</v>
      </c>
      <c r="B997" s="2" t="s">
        <v>2331</v>
      </c>
      <c r="C997" s="2">
        <v>1961</v>
      </c>
      <c r="D997" s="2" t="s">
        <v>266</v>
      </c>
      <c r="E997" s="2" t="s">
        <v>93</v>
      </c>
      <c r="F997" s="2">
        <v>7.6</v>
      </c>
      <c r="G997" s="2">
        <v>76</v>
      </c>
      <c r="H997" s="2" t="s">
        <v>2332</v>
      </c>
      <c r="I997" s="2" t="s">
        <v>1737</v>
      </c>
      <c r="J997" s="2">
        <v>166544</v>
      </c>
      <c r="K997" s="4" t="s">
        <v>90</v>
      </c>
      <c r="L997">
        <f t="shared" si="30"/>
        <v>0</v>
      </c>
      <c r="N997">
        <f t="shared" si="31"/>
        <v>1</v>
      </c>
    </row>
    <row r="998" spans="1:14" ht="25.5">
      <c r="A998">
        <v>997</v>
      </c>
      <c r="B998" s="2" t="s">
        <v>2333</v>
      </c>
      <c r="C998" s="2">
        <v>1956</v>
      </c>
      <c r="D998" s="2" t="s">
        <v>38</v>
      </c>
      <c r="E998" s="2" t="s">
        <v>60</v>
      </c>
      <c r="F998" s="2">
        <v>7.6</v>
      </c>
      <c r="G998" s="2">
        <v>84</v>
      </c>
      <c r="H998" s="2" t="s">
        <v>2334</v>
      </c>
      <c r="I998" s="2" t="s">
        <v>1144</v>
      </c>
      <c r="J998" s="2">
        <v>34075</v>
      </c>
      <c r="K998" s="4" t="s">
        <v>90</v>
      </c>
      <c r="L998">
        <f t="shared" si="30"/>
        <v>0</v>
      </c>
      <c r="N998">
        <f t="shared" si="31"/>
        <v>1</v>
      </c>
    </row>
    <row r="999" spans="1:14" ht="23.25">
      <c r="A999">
        <v>998</v>
      </c>
      <c r="B999" s="2" t="s">
        <v>2335</v>
      </c>
      <c r="C999" s="2">
        <v>1953</v>
      </c>
      <c r="D999" s="2" t="s">
        <v>123</v>
      </c>
      <c r="E999" s="2" t="s">
        <v>60</v>
      </c>
      <c r="F999" s="2">
        <v>7.6</v>
      </c>
      <c r="G999" s="2">
        <v>85</v>
      </c>
      <c r="H999" s="2" t="s">
        <v>1421</v>
      </c>
      <c r="I999" s="2" t="s">
        <v>1171</v>
      </c>
      <c r="J999" s="2">
        <v>43374</v>
      </c>
      <c r="K999" s="3">
        <v>30500000</v>
      </c>
      <c r="L999">
        <f t="shared" si="30"/>
        <v>0</v>
      </c>
      <c r="N999">
        <f t="shared" si="31"/>
        <v>0</v>
      </c>
    </row>
    <row r="1000" spans="1:14" ht="25.5">
      <c r="A1000">
        <v>999</v>
      </c>
      <c r="B1000" s="2" t="s">
        <v>2336</v>
      </c>
      <c r="C1000" s="2">
        <v>1944</v>
      </c>
      <c r="D1000" s="2" t="s">
        <v>1191</v>
      </c>
      <c r="E1000" s="2" t="s">
        <v>60</v>
      </c>
      <c r="F1000" s="2">
        <v>7.6</v>
      </c>
      <c r="G1000" s="2">
        <v>78</v>
      </c>
      <c r="H1000" s="2" t="s">
        <v>195</v>
      </c>
      <c r="I1000" s="2" t="s">
        <v>2337</v>
      </c>
      <c r="J1000" s="2">
        <v>26471</v>
      </c>
      <c r="K1000" s="4" t="s">
        <v>90</v>
      </c>
      <c r="L1000">
        <f t="shared" si="30"/>
        <v>0</v>
      </c>
      <c r="N1000">
        <f t="shared" si="31"/>
        <v>1</v>
      </c>
    </row>
    <row r="1001" spans="1:14" ht="25.5">
      <c r="A1001">
        <v>1000</v>
      </c>
      <c r="B1001" s="2" t="s">
        <v>2338</v>
      </c>
      <c r="C1001" s="2">
        <v>1935</v>
      </c>
      <c r="D1001" s="2" t="s">
        <v>519</v>
      </c>
      <c r="E1001" s="2" t="s">
        <v>22</v>
      </c>
      <c r="F1001" s="2">
        <v>7.6</v>
      </c>
      <c r="G1001" s="2">
        <v>93</v>
      </c>
      <c r="H1001" s="2" t="s">
        <v>195</v>
      </c>
      <c r="I1001" s="2" t="s">
        <v>2339</v>
      </c>
      <c r="J1001" s="2">
        <v>51853</v>
      </c>
      <c r="K1001" s="4" t="s">
        <v>90</v>
      </c>
      <c r="L1001">
        <f t="shared" si="30"/>
        <v>0</v>
      </c>
      <c r="N1001">
        <f t="shared" si="31"/>
        <v>1</v>
      </c>
    </row>
  </sheetData>
  <autoFilter ref="C1:C100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2025-04-30T06:17:08Z</dcterms:created>
  <dcterms:modified xsi:type="dcterms:W3CDTF">2025-05-02T04:11:28Z</dcterms:modified>
  <cp:category/>
  <cp:contentStatus/>
</cp:coreProperties>
</file>